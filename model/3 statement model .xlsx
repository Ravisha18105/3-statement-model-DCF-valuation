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shagosain/Desktop/WorkX/Finance/projects/3 statement model/model/"/>
    </mc:Choice>
  </mc:AlternateContent>
  <xr:revisionPtr revIDLastSave="0" documentId="13_ncr:1_{28D92D3D-4957-7040-B9EC-C5F991EA7283}" xr6:coauthVersionLast="47" xr6:coauthVersionMax="47" xr10:uidLastSave="{00000000-0000-0000-0000-000000000000}"/>
  <bookViews>
    <workbookView xWindow="0" yWindow="660" windowWidth="29400" windowHeight="18460" activeTab="2" xr2:uid="{C2ABDD43-7712-494D-BFB8-6BE793A7A1EB}"/>
  </bookViews>
  <sheets>
    <sheet name="Cover" sheetId="1" r:id="rId1"/>
    <sheet name="Assumptions" sheetId="2" r:id="rId2"/>
    <sheet name="IS" sheetId="3" r:id="rId3"/>
    <sheet name="BS" sheetId="4" r:id="rId4"/>
    <sheet name="CFS" sheetId="5" r:id="rId5"/>
    <sheet name="Check" sheetId="6" r:id="rId6"/>
    <sheet name="PP&amp;E Sch" sheetId="7" r:id="rId7"/>
    <sheet name="WC Sch" sheetId="8" r:id="rId8"/>
    <sheet name="Sheet1" sheetId="12" r:id="rId9"/>
    <sheet name="WACC" sheetId="9" r:id="rId10"/>
    <sheet name="DCF" sheetId="10" r:id="rId11"/>
    <sheet name="Sensitivity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3" i="4" l="1"/>
  <c r="D63" i="4"/>
  <c r="E63" i="4"/>
  <c r="G63" i="4"/>
  <c r="H63" i="4"/>
  <c r="I63" i="4"/>
  <c r="J63" i="4"/>
  <c r="F63" i="4"/>
  <c r="G61" i="4"/>
  <c r="H61" i="4"/>
  <c r="I61" i="4"/>
  <c r="J61" i="4"/>
  <c r="F61" i="4"/>
  <c r="G59" i="4"/>
  <c r="H59" i="4"/>
  <c r="I59" i="4"/>
  <c r="J59" i="4"/>
  <c r="F59" i="4"/>
  <c r="G51" i="4"/>
  <c r="H51" i="4"/>
  <c r="I51" i="4"/>
  <c r="J51" i="4"/>
  <c r="F51" i="4"/>
  <c r="G41" i="4"/>
  <c r="H41" i="4"/>
  <c r="I41" i="4"/>
  <c r="J41" i="4"/>
  <c r="F41" i="4"/>
  <c r="F38" i="4"/>
  <c r="F39" i="4" s="1"/>
  <c r="E39" i="4"/>
  <c r="H39" i="4"/>
  <c r="J37" i="4"/>
  <c r="G37" i="4"/>
  <c r="H37" i="4" s="1"/>
  <c r="I37" i="4" s="1"/>
  <c r="F37" i="4"/>
  <c r="F31" i="4"/>
  <c r="G31" i="4" s="1"/>
  <c r="H31" i="4" s="1"/>
  <c r="I31" i="4" s="1"/>
  <c r="J31" i="4" s="1"/>
  <c r="G27" i="4"/>
  <c r="H27" i="4" s="1"/>
  <c r="I27" i="4" s="1"/>
  <c r="J27" i="4" s="1"/>
  <c r="G28" i="4"/>
  <c r="H28" i="4"/>
  <c r="I28" i="4"/>
  <c r="J28" i="4"/>
  <c r="G29" i="4"/>
  <c r="H29" i="4" s="1"/>
  <c r="I29" i="4" s="1"/>
  <c r="J29" i="4" s="1"/>
  <c r="G30" i="4"/>
  <c r="H30" i="4"/>
  <c r="I30" i="4"/>
  <c r="J30" i="4"/>
  <c r="F28" i="4"/>
  <c r="F29" i="4"/>
  <c r="F30" i="4"/>
  <c r="F27" i="4"/>
  <c r="G24" i="4"/>
  <c r="H24" i="4" s="1"/>
  <c r="I24" i="4" s="1"/>
  <c r="J24" i="4" s="1"/>
  <c r="F24" i="4"/>
  <c r="F20" i="4"/>
  <c r="G20" i="4" s="1"/>
  <c r="H20" i="4" s="1"/>
  <c r="I20" i="4" s="1"/>
  <c r="J20" i="4" s="1"/>
  <c r="G16" i="4"/>
  <c r="H16" i="4" s="1"/>
  <c r="I16" i="4" s="1"/>
  <c r="J16" i="4" s="1"/>
  <c r="G17" i="4"/>
  <c r="H17" i="4"/>
  <c r="I17" i="4"/>
  <c r="J17" i="4"/>
  <c r="G18" i="4"/>
  <c r="H18" i="4" s="1"/>
  <c r="I18" i="4" s="1"/>
  <c r="J18" i="4" s="1"/>
  <c r="G19" i="4"/>
  <c r="H19" i="4"/>
  <c r="I19" i="4"/>
  <c r="J19" i="4"/>
  <c r="F16" i="4"/>
  <c r="F17" i="4"/>
  <c r="F18" i="4"/>
  <c r="F19" i="4"/>
  <c r="G15" i="4"/>
  <c r="H15" i="4"/>
  <c r="I15" i="4"/>
  <c r="J15" i="4"/>
  <c r="F15" i="4"/>
  <c r="G14" i="4"/>
  <c r="H14" i="4" s="1"/>
  <c r="I14" i="4" s="1"/>
  <c r="J14" i="4" s="1"/>
  <c r="F14" i="4"/>
  <c r="G12" i="4"/>
  <c r="H12" i="4" s="1"/>
  <c r="I12" i="4" s="1"/>
  <c r="J12" i="4" s="1"/>
  <c r="F12" i="4"/>
  <c r="G11" i="4"/>
  <c r="H11" i="4" s="1"/>
  <c r="I11" i="4" s="1"/>
  <c r="J11" i="4" s="1"/>
  <c r="F11" i="4"/>
  <c r="G10" i="4"/>
  <c r="H10" i="4"/>
  <c r="I10" i="4"/>
  <c r="J10" i="4"/>
  <c r="F10" i="4"/>
  <c r="G9" i="4"/>
  <c r="H9" i="4" s="1"/>
  <c r="I9" i="4" s="1"/>
  <c r="J9" i="4" s="1"/>
  <c r="F9" i="4"/>
  <c r="G38" i="4"/>
  <c r="H38" i="4" s="1"/>
  <c r="I38" i="4" s="1"/>
  <c r="J38" i="4" s="1"/>
  <c r="J39" i="4" s="1"/>
  <c r="G16" i="3"/>
  <c r="H16" i="3" s="1"/>
  <c r="I16" i="3" s="1"/>
  <c r="J16" i="3" s="1"/>
  <c r="F16" i="3"/>
  <c r="G8" i="7"/>
  <c r="F8" i="7"/>
  <c r="G7" i="7"/>
  <c r="H7" i="7"/>
  <c r="I7" i="7"/>
  <c r="J7" i="7"/>
  <c r="F7" i="7"/>
  <c r="G39" i="4" l="1"/>
  <c r="I39" i="4"/>
  <c r="F25" i="4"/>
  <c r="G25" i="4"/>
  <c r="H25" i="4"/>
  <c r="I25" i="4"/>
  <c r="J25" i="4"/>
  <c r="D6" i="8"/>
  <c r="E6" i="8"/>
  <c r="C7" i="8"/>
  <c r="C6" i="8"/>
  <c r="D5" i="8"/>
  <c r="E5" i="8"/>
  <c r="F5" i="8"/>
  <c r="G5" i="8"/>
  <c r="H5" i="8"/>
  <c r="I5" i="8"/>
  <c r="J5" i="8"/>
  <c r="D7" i="8"/>
  <c r="E7" i="8"/>
  <c r="F7" i="8"/>
  <c r="G7" i="8"/>
  <c r="H7" i="8"/>
  <c r="I7" i="8"/>
  <c r="J7" i="8"/>
  <c r="F17" i="3"/>
  <c r="D8" i="4"/>
  <c r="E8" i="4"/>
  <c r="C8" i="4"/>
  <c r="F10" i="7"/>
  <c r="G6" i="7"/>
  <c r="F6" i="7"/>
  <c r="C14" i="7"/>
  <c r="D14" i="7"/>
  <c r="E14" i="7"/>
  <c r="D25" i="3"/>
  <c r="E25" i="3"/>
  <c r="C25" i="3"/>
  <c r="D18" i="2"/>
  <c r="E18" i="2"/>
  <c r="C18" i="2"/>
  <c r="G21" i="3"/>
  <c r="G25" i="3" s="1"/>
  <c r="H21" i="3"/>
  <c r="I21" i="3"/>
  <c r="I25" i="3" s="1"/>
  <c r="J21" i="3"/>
  <c r="J25" i="3" s="1"/>
  <c r="F21" i="3"/>
  <c r="F25" i="3" s="1"/>
  <c r="G18" i="3"/>
  <c r="H18" i="3" s="1"/>
  <c r="I18" i="3" s="1"/>
  <c r="J18" i="3" s="1"/>
  <c r="F18" i="3"/>
  <c r="G17" i="3"/>
  <c r="H17" i="3" s="1"/>
  <c r="I17" i="3" s="1"/>
  <c r="J17" i="3" s="1"/>
  <c r="G15" i="3"/>
  <c r="H15" i="3" s="1"/>
  <c r="I15" i="3" s="1"/>
  <c r="J15" i="3" s="1"/>
  <c r="F15" i="3"/>
  <c r="G14" i="3"/>
  <c r="H14" i="3" s="1"/>
  <c r="I14" i="3" s="1"/>
  <c r="J14" i="3" s="1"/>
  <c r="F14" i="3"/>
  <c r="G13" i="3"/>
  <c r="H13" i="3" s="1"/>
  <c r="I13" i="3" s="1"/>
  <c r="J13" i="3" s="1"/>
  <c r="F13" i="3"/>
  <c r="G12" i="3"/>
  <c r="H12" i="3" s="1"/>
  <c r="I12" i="3" s="1"/>
  <c r="J12" i="3" s="1"/>
  <c r="F12" i="3"/>
  <c r="G11" i="3"/>
  <c r="H11" i="3" s="1"/>
  <c r="I11" i="3" s="1"/>
  <c r="J11" i="3" s="1"/>
  <c r="F11" i="3"/>
  <c r="G10" i="3"/>
  <c r="H10" i="3" s="1"/>
  <c r="I10" i="3" s="1"/>
  <c r="J10" i="3" s="1"/>
  <c r="F10" i="3"/>
  <c r="G7" i="3"/>
  <c r="H7" i="3"/>
  <c r="I7" i="3"/>
  <c r="J7" i="3"/>
  <c r="F7" i="3"/>
  <c r="G6" i="3"/>
  <c r="H6" i="3"/>
  <c r="I6" i="3"/>
  <c r="J6" i="3"/>
  <c r="F6" i="3"/>
  <c r="G29" i="3"/>
  <c r="H29" i="3"/>
  <c r="I29" i="3"/>
  <c r="J29" i="3"/>
  <c r="F29" i="3"/>
  <c r="J5" i="3"/>
  <c r="I5" i="3"/>
  <c r="H5" i="3"/>
  <c r="G5" i="3"/>
  <c r="F5" i="3"/>
  <c r="E16" i="2"/>
  <c r="D16" i="2"/>
  <c r="C16" i="2"/>
  <c r="E12" i="2"/>
  <c r="D12" i="2"/>
  <c r="C12" i="2"/>
  <c r="E11" i="2"/>
  <c r="D11" i="2"/>
  <c r="E8" i="2"/>
  <c r="D8" i="2"/>
  <c r="C8" i="2"/>
  <c r="C7" i="2"/>
  <c r="E7" i="2"/>
  <c r="D7" i="2"/>
  <c r="E29" i="3"/>
  <c r="D29" i="3"/>
  <c r="C29" i="3"/>
  <c r="E4" i="2"/>
  <c r="D4" i="2"/>
  <c r="E3" i="6"/>
  <c r="D3" i="6"/>
  <c r="C3" i="6"/>
  <c r="C29" i="4"/>
  <c r="G27" i="3" l="1"/>
  <c r="H25" i="3"/>
  <c r="H27" i="3" s="1"/>
  <c r="F27" i="3"/>
  <c r="J27" i="3"/>
  <c r="I27" i="3"/>
  <c r="H6" i="7"/>
  <c r="H8" i="7" s="1"/>
  <c r="I6" i="7" l="1"/>
  <c r="I8" i="7" s="1"/>
  <c r="J6" i="7" l="1"/>
  <c r="J8" i="7" s="1"/>
  <c r="C11" i="2" l="1"/>
  <c r="C5" i="8" s="1"/>
  <c r="I11" i="7"/>
  <c r="I19" i="3" s="1"/>
  <c r="I6" i="8" s="1"/>
  <c r="I56" i="4" s="1"/>
  <c r="J11" i="7"/>
  <c r="J19" i="3" s="1"/>
  <c r="J6" i="8" s="1"/>
  <c r="J56" i="4" s="1"/>
  <c r="H11" i="7"/>
  <c r="H19" i="3" s="1"/>
  <c r="H6" i="8" s="1"/>
  <c r="H56" i="4" s="1"/>
  <c r="F11" i="7"/>
  <c r="F19" i="3" s="1"/>
  <c r="F6" i="8" s="1"/>
  <c r="F56" i="4" s="1"/>
  <c r="G11" i="7"/>
  <c r="G19" i="3" s="1"/>
  <c r="G6" i="8" s="1"/>
  <c r="G56" i="4" s="1"/>
  <c r="F12" i="7" l="1"/>
  <c r="F14" i="7" s="1"/>
  <c r="F8" i="4" s="1"/>
  <c r="G10" i="7"/>
  <c r="G12" i="7" s="1"/>
  <c r="G14" i="7" l="1"/>
  <c r="G8" i="4" s="1"/>
  <c r="H10" i="7"/>
  <c r="H12" i="7" s="1"/>
  <c r="H14" i="7" l="1"/>
  <c r="H8" i="4" s="1"/>
  <c r="I10" i="7"/>
  <c r="I12" i="7" s="1"/>
  <c r="I14" i="7" l="1"/>
  <c r="I8" i="4" s="1"/>
  <c r="J10" i="7"/>
  <c r="J12" i="7" s="1"/>
  <c r="J14" i="7" s="1"/>
  <c r="J8" i="4" s="1"/>
</calcChain>
</file>

<file path=xl/sharedStrings.xml><?xml version="1.0" encoding="utf-8"?>
<sst xmlns="http://schemas.openxmlformats.org/spreadsheetml/2006/main" count="251" uniqueCount="193">
  <si>
    <t>Infosys Limited</t>
  </si>
  <si>
    <t>Income Statement (₹ Crores)</t>
  </si>
  <si>
    <t>Line Item</t>
  </si>
  <si>
    <t>FY23</t>
  </si>
  <si>
    <t>FY24</t>
  </si>
  <si>
    <t>FY25</t>
  </si>
  <si>
    <t>Revenue from operations</t>
  </si>
  <si>
    <t>Other income, net</t>
  </si>
  <si>
    <t>Total income</t>
  </si>
  <si>
    <t>Expenses</t>
  </si>
  <si>
    <t>Employee benefit expenses</t>
  </si>
  <si>
    <t>Cost of technical sub contractors</t>
  </si>
  <si>
    <t>Travel expenses</t>
  </si>
  <si>
    <t>Communication expenses</t>
  </si>
  <si>
    <t>Finance cost</t>
  </si>
  <si>
    <t>Other expenses</t>
  </si>
  <si>
    <t>Total expenses</t>
  </si>
  <si>
    <t>Profit before tax</t>
  </si>
  <si>
    <t>Current tax</t>
  </si>
  <si>
    <t>Deffered tax</t>
  </si>
  <si>
    <t>Profit for the year</t>
  </si>
  <si>
    <t>Cost of software packages and others</t>
  </si>
  <si>
    <t>Consultancy and professional charges</t>
  </si>
  <si>
    <t>Depreciation and amortization expenses</t>
  </si>
  <si>
    <t>Assets</t>
  </si>
  <si>
    <t>Non current assets</t>
  </si>
  <si>
    <t>Property, plant and equipment</t>
  </si>
  <si>
    <t>Right of use assets</t>
  </si>
  <si>
    <t>Capital work in progress</t>
  </si>
  <si>
    <t>Goodwill</t>
  </si>
  <si>
    <t>Other intangible assets</t>
  </si>
  <si>
    <t>Financial assets</t>
  </si>
  <si>
    <t>Investments</t>
  </si>
  <si>
    <t>Loans</t>
  </si>
  <si>
    <t>Other financial assets</t>
  </si>
  <si>
    <t>Deferred tax assets (net)</t>
  </si>
  <si>
    <t>Income tax assets (net)</t>
  </si>
  <si>
    <t>Other non-current assets</t>
  </si>
  <si>
    <t>Total non-current assets</t>
  </si>
  <si>
    <t>Current assets</t>
  </si>
  <si>
    <t>Trade receivables</t>
  </si>
  <si>
    <t>Cash and cash equivalents</t>
  </si>
  <si>
    <t>Other current assets</t>
  </si>
  <si>
    <t>Total current assets</t>
  </si>
  <si>
    <t>Total assets</t>
  </si>
  <si>
    <t>Equity</t>
  </si>
  <si>
    <t>Equity share capital</t>
  </si>
  <si>
    <t>Other equity</t>
  </si>
  <si>
    <t>Total equity</t>
  </si>
  <si>
    <t>Liabilities</t>
  </si>
  <si>
    <t>Non-current liabilities</t>
  </si>
  <si>
    <t>Financial liabilities</t>
  </si>
  <si>
    <t>Lease liabilities</t>
  </si>
  <si>
    <t>Trade payables</t>
  </si>
  <si>
    <t>Other financial libilities</t>
  </si>
  <si>
    <t>Other current liabilities</t>
  </si>
  <si>
    <t>Provisions</t>
  </si>
  <si>
    <t>Income tax liabilities (net)</t>
  </si>
  <si>
    <t>Total current liabilities</t>
  </si>
  <si>
    <t>Total equity and liabilities</t>
  </si>
  <si>
    <t>Deferred tax liabilities (net)</t>
  </si>
  <si>
    <t>Other non-current liabilities</t>
  </si>
  <si>
    <t>Total non-current liabilities</t>
  </si>
  <si>
    <t>Current liabilities</t>
  </si>
  <si>
    <t>Total equity attributable to equity holders of the company</t>
  </si>
  <si>
    <t>Non-controlling interests</t>
  </si>
  <si>
    <t>Cash fow from operating activities</t>
  </si>
  <si>
    <t>Adjustments to reconcile net profit to net cash provided by operating activities</t>
  </si>
  <si>
    <t>Depreciation and amortization</t>
  </si>
  <si>
    <t>Interest and dividend income</t>
  </si>
  <si>
    <t>Stock compensation expense</t>
  </si>
  <si>
    <t>Provision for post sale client support</t>
  </si>
  <si>
    <t>Exchange differences on translation of assets and liabilities, net</t>
  </si>
  <si>
    <t>Interest receivable on income tax refund</t>
  </si>
  <si>
    <t>Other adjustments</t>
  </si>
  <si>
    <t>Changes in assets and liabilities</t>
  </si>
  <si>
    <t>Trade receivables and unbilled revenue</t>
  </si>
  <si>
    <t>Loans, other financial assets and other assets</t>
  </si>
  <si>
    <t>Other financial liabilities, other liabilities and provisions</t>
  </si>
  <si>
    <t>Cash generated from operations</t>
  </si>
  <si>
    <t>Income taxes paid</t>
  </si>
  <si>
    <t>Net cash generated by operating activities</t>
  </si>
  <si>
    <t>Cash flow from investing activities</t>
  </si>
  <si>
    <t>Expenditure on property, plant and equipment</t>
  </si>
  <si>
    <t>Deposits placed with corporation</t>
  </si>
  <si>
    <t>Redemption of deposits placed with corporation</t>
  </si>
  <si>
    <t>Other receipts</t>
  </si>
  <si>
    <t xml:space="preserve">Interest and dividend received </t>
  </si>
  <si>
    <t xml:space="preserve">Dividend received from subsidiary </t>
  </si>
  <si>
    <t xml:space="preserve">Loan given to subsidiaries </t>
  </si>
  <si>
    <t xml:space="preserve">Loan repaid by subsidiaries </t>
  </si>
  <si>
    <t xml:space="preserve">Investment in subsidiaries </t>
  </si>
  <si>
    <t xml:space="preserve">Receipt / (payment) towards business transfer for entities under common control </t>
  </si>
  <si>
    <t>Receipt / (payment) from entities under liquidation</t>
  </si>
  <si>
    <t xml:space="preserve">Escrow and other deposits pertaining to buyback </t>
  </si>
  <si>
    <t xml:space="preserve">Redemption of escrow and other deposits pertaining to buyback </t>
  </si>
  <si>
    <t>Payments to acquire investments</t>
  </si>
  <si>
    <t>Proceeds on sale of investments</t>
  </si>
  <si>
    <t>Net cash (used in) / generated from investing activities</t>
  </si>
  <si>
    <t xml:space="preserve">Liquid mutual fund units </t>
  </si>
  <si>
    <t xml:space="preserve">Target maturity fund units </t>
  </si>
  <si>
    <t>Tax-free bonds and government bonds</t>
  </si>
  <si>
    <t xml:space="preserve">Commercial papers </t>
  </si>
  <si>
    <t xml:space="preserve">Certificates of deposit </t>
  </si>
  <si>
    <t>Government securities</t>
  </si>
  <si>
    <t xml:space="preserve">Non-convertible debentures </t>
  </si>
  <si>
    <t>Others</t>
  </si>
  <si>
    <t xml:space="preserve">Tax-free bonds and government bonds </t>
  </si>
  <si>
    <t>Non-convertible debentures</t>
  </si>
  <si>
    <t>Certificates of deposit</t>
  </si>
  <si>
    <t xml:space="preserve">Government securities </t>
  </si>
  <si>
    <t>Commercial papers</t>
  </si>
  <si>
    <t>Cash flow from financing activities</t>
  </si>
  <si>
    <t xml:space="preserve">Payment of lease liabilities </t>
  </si>
  <si>
    <t xml:space="preserve">Buyback of equity shares, including transaction costs and tax on buyback </t>
  </si>
  <si>
    <t>Shares issued on exercise of employee stock options</t>
  </si>
  <si>
    <t>Other payments</t>
  </si>
  <si>
    <t>Payment of dividends</t>
  </si>
  <si>
    <t>Net cash used in financing activities</t>
  </si>
  <si>
    <t>Net increase/(decrease) in cash and cash equivalents</t>
  </si>
  <si>
    <t>Effect of exchange differences on translation of foreign currency cash and cash equivalents</t>
  </si>
  <si>
    <t>Cash and cash equivalents at the beginning of the year</t>
  </si>
  <si>
    <t>Cash and cash equivalents at the end of the year</t>
  </si>
  <si>
    <t xml:space="preserve">Supplementary information </t>
  </si>
  <si>
    <t>Restricted cash balance</t>
  </si>
  <si>
    <t xml:space="preserve">Income tax expense </t>
  </si>
  <si>
    <t>Impairment loss recognized/(reversed) under expected credit loss model</t>
  </si>
  <si>
    <t>Payment towards acquisition of business, net of cash acquired</t>
  </si>
  <si>
    <t>Payment of contingent consideration pertaining to acquisition of business</t>
  </si>
  <si>
    <t>Cash Flow Statement (₹ Crores)</t>
  </si>
  <si>
    <t>Balance Sheet (₹ Crores)</t>
  </si>
  <si>
    <t>Check</t>
  </si>
  <si>
    <t>Other comprehensive income</t>
  </si>
  <si>
    <t>Items that will not be reclassified subsequently to profit or loss</t>
  </si>
  <si>
    <t>Remeasurement of the net defined benefit liability/ asset, net</t>
  </si>
  <si>
    <t>Equity instruments through other comprehensive income, net</t>
  </si>
  <si>
    <t>Items that will be reclassified subsequently to profit or loss</t>
  </si>
  <si>
    <t>Fair value changes on derivatives designated as cash flow hedge, net</t>
  </si>
  <si>
    <t>Fair value changes on investments, net</t>
  </si>
  <si>
    <t>Total other comprehensive income/ (loss), net of tax</t>
  </si>
  <si>
    <t>Total comprehensive income for the year</t>
  </si>
  <si>
    <t>Earnings per equity share</t>
  </si>
  <si>
    <t>Equity shares of par value ₹5 each</t>
  </si>
  <si>
    <t>Basic (in ₹ per share)</t>
  </si>
  <si>
    <t>Diluted (in ₹ per share)</t>
  </si>
  <si>
    <t>Weighted average equity shares used in computing earnings per equity share</t>
  </si>
  <si>
    <t>Basic (in shares)</t>
  </si>
  <si>
    <t>Diluted (in shares)</t>
  </si>
  <si>
    <t>Profit attributable to:</t>
  </si>
  <si>
    <t>Owners of the company</t>
  </si>
  <si>
    <t>Total comprehensive income attributable to:</t>
  </si>
  <si>
    <t>Operating Drivers / Assumptions</t>
  </si>
  <si>
    <t>Driver</t>
  </si>
  <si>
    <t>FY26</t>
  </si>
  <si>
    <t>FY27</t>
  </si>
  <si>
    <t>FY28</t>
  </si>
  <si>
    <t>FY29</t>
  </si>
  <si>
    <t>FY30</t>
  </si>
  <si>
    <t>Revenue Growth %</t>
  </si>
  <si>
    <t>Margins</t>
  </si>
  <si>
    <t>EBIT Margit</t>
  </si>
  <si>
    <t>Net Margin</t>
  </si>
  <si>
    <t>Working capital</t>
  </si>
  <si>
    <t>DSO</t>
  </si>
  <si>
    <t>DPO</t>
  </si>
  <si>
    <t>DIO</t>
  </si>
  <si>
    <t>Capital Investment</t>
  </si>
  <si>
    <t>Capex % Revenue</t>
  </si>
  <si>
    <t>EBIT</t>
  </si>
  <si>
    <t>FY26E</t>
  </si>
  <si>
    <t>FY27E</t>
  </si>
  <si>
    <t>FY28E</t>
  </si>
  <si>
    <t>FY29E</t>
  </si>
  <si>
    <t>FY30E</t>
  </si>
  <si>
    <t xml:space="preserve">FY27E </t>
  </si>
  <si>
    <t>Effective Tax Rate</t>
  </si>
  <si>
    <t>Total Tax expense</t>
  </si>
  <si>
    <t>PP&amp;E Schedule (₹ Crores)</t>
  </si>
  <si>
    <t>Gross PP&amp;E</t>
  </si>
  <si>
    <t>Closing gross PP&amp;E</t>
  </si>
  <si>
    <t>Closing accumulated depreciation</t>
  </si>
  <si>
    <t>Net PP&amp;E</t>
  </si>
  <si>
    <t>Opening gross PP&amp;E</t>
  </si>
  <si>
    <t>Capex</t>
  </si>
  <si>
    <t>Opening Accumulated depreciation</t>
  </si>
  <si>
    <t>Depreciation expense</t>
  </si>
  <si>
    <t>Receivables</t>
  </si>
  <si>
    <t>Payables</t>
  </si>
  <si>
    <t>Inventory</t>
  </si>
  <si>
    <t>Depreciation % of Gross PP&amp;E</t>
  </si>
  <si>
    <t>Dividend Payout Ratio%</t>
  </si>
  <si>
    <t>CWIP % of Capex</t>
  </si>
  <si>
    <t>Provisions %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</si>
</sst>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sz val="8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0"/>
      <color theme="9" tint="-0.249977111117893"/>
      <name val="Arial Unicode MS"/>
      <family val="2"/>
    </font>
    <font>
      <b/>
      <sz val="14"/>
      <color theme="1"/>
      <name val="Calibri (Body)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3" fontId="3" fillId="0" borderId="0" xfId="0" applyNumberFormat="1" applyFont="1"/>
    <xf numFmtId="0" fontId="3" fillId="0" borderId="0" xfId="0" applyFont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wrapText="1"/>
    </xf>
    <xf numFmtId="3" fontId="4" fillId="0" borderId="0" xfId="0" applyNumberFormat="1" applyFont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6" fillId="0" borderId="0" xfId="0" applyFont="1"/>
    <xf numFmtId="10" fontId="6" fillId="0" borderId="0" xfId="0" applyNumberFormat="1" applyFont="1"/>
    <xf numFmtId="10" fontId="6" fillId="0" borderId="1" xfId="0" applyNumberFormat="1" applyFont="1" applyBorder="1"/>
    <xf numFmtId="0" fontId="6" fillId="0" borderId="1" xfId="0" applyFont="1" applyBorder="1"/>
    <xf numFmtId="2" fontId="6" fillId="0" borderId="0" xfId="0" applyNumberFormat="1" applyFont="1"/>
    <xf numFmtId="2" fontId="6" fillId="0" borderId="1" xfId="0" applyNumberFormat="1" applyFont="1" applyBorder="1"/>
    <xf numFmtId="2" fontId="7" fillId="0" borderId="0" xfId="0" applyNumberFormat="1" applyFont="1"/>
    <xf numFmtId="2" fontId="7" fillId="0" borderId="1" xfId="0" applyNumberFormat="1" applyFont="1" applyBorder="1"/>
    <xf numFmtId="0" fontId="8" fillId="0" borderId="0" xfId="0" applyFont="1" applyAlignment="1">
      <alignment horizontal="center"/>
    </xf>
    <xf numFmtId="10" fontId="3" fillId="0" borderId="0" xfId="0" applyNumberFormat="1" applyFont="1"/>
    <xf numFmtId="0" fontId="1" fillId="3" borderId="0" xfId="0" applyFont="1" applyFill="1" applyAlignment="1">
      <alignment horizontal="left" indent="2"/>
    </xf>
    <xf numFmtId="2" fontId="0" fillId="0" borderId="0" xfId="0" applyNumberFormat="1"/>
    <xf numFmtId="4" fontId="0" fillId="0" borderId="0" xfId="0" applyNumberFormat="1"/>
    <xf numFmtId="4" fontId="6" fillId="0" borderId="0" xfId="0" applyNumberFormat="1" applyFont="1"/>
    <xf numFmtId="4" fontId="0" fillId="0" borderId="0" xfId="0" applyNumberFormat="1" applyFont="1"/>
    <xf numFmtId="4" fontId="3" fillId="0" borderId="0" xfId="0" applyNumberFormat="1" applyFont="1"/>
    <xf numFmtId="4" fontId="4" fillId="0" borderId="0" xfId="0" applyNumberFormat="1" applyFont="1"/>
    <xf numFmtId="0" fontId="0" fillId="0" borderId="0" xfId="0" applyFont="1"/>
    <xf numFmtId="4" fontId="1" fillId="0" borderId="0" xfId="0" applyNumberFormat="1" applyFont="1"/>
    <xf numFmtId="4" fontId="9" fillId="0" borderId="0" xfId="0" applyNumberFormat="1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135A8-0503-D44E-8311-19F1C84C0D20}">
  <sheetPr>
    <tabColor theme="8" tint="0.39997558519241921"/>
  </sheetPr>
  <dimension ref="A1"/>
  <sheetViews>
    <sheetView workbookViewId="0">
      <selection activeCell="L19" sqref="L19"/>
    </sheetView>
  </sheetViews>
  <sheetFormatPr baseColWidth="10" defaultColWidth="12.83203125" defaultRowHeight="15" customHeight="1" x14ac:dyDescent="0.2"/>
  <cols>
    <col min="1" max="16384" width="12.83203125" style="2"/>
  </cols>
  <sheetData>
    <row r="1" s="2" customFormat="1" ht="1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A638-E8D2-424E-81D0-DBEF2C186B13}">
  <sheetPr>
    <tabColor theme="8" tint="0.39997558519241921"/>
  </sheetPr>
  <dimension ref="A1:J28"/>
  <sheetViews>
    <sheetView zoomScaleNormal="147" workbookViewId="0">
      <selection activeCell="F26" sqref="F26:J26"/>
    </sheetView>
  </sheetViews>
  <sheetFormatPr baseColWidth="10" defaultRowHeight="16" x14ac:dyDescent="0.2"/>
  <cols>
    <col min="1" max="1" width="26.33203125" customWidth="1"/>
    <col min="5" max="5" width="11.33203125" customWidth="1"/>
  </cols>
  <sheetData>
    <row r="1" spans="1:10" ht="19" x14ac:dyDescent="0.25">
      <c r="D1" s="3"/>
      <c r="E1" s="26" t="s">
        <v>151</v>
      </c>
      <c r="F1" s="3"/>
    </row>
    <row r="3" spans="1:10" x14ac:dyDescent="0.2">
      <c r="A3" s="5" t="s">
        <v>152</v>
      </c>
      <c r="B3" s="5"/>
      <c r="C3" s="5" t="s">
        <v>3</v>
      </c>
      <c r="D3" s="5" t="s">
        <v>4</v>
      </c>
      <c r="E3" s="17" t="s">
        <v>5</v>
      </c>
      <c r="F3" s="5" t="s">
        <v>153</v>
      </c>
      <c r="G3" s="5" t="s">
        <v>154</v>
      </c>
      <c r="H3" s="5" t="s">
        <v>155</v>
      </c>
      <c r="I3" s="5" t="s">
        <v>156</v>
      </c>
      <c r="J3" s="5" t="s">
        <v>157</v>
      </c>
    </row>
    <row r="4" spans="1:10" x14ac:dyDescent="0.2">
      <c r="A4" s="3" t="s">
        <v>158</v>
      </c>
      <c r="C4" s="18">
        <v>0</v>
      </c>
      <c r="D4" s="19">
        <f>(IS!D5/IS!C5)-1</f>
        <v>0.23913429128969299</v>
      </c>
      <c r="E4" s="20">
        <f>(IS!E5/IS!D5)-1</f>
        <v>6.0649443612936782E-2</v>
      </c>
      <c r="F4" s="27">
        <v>7.0000000000000007E-2</v>
      </c>
      <c r="G4" s="27">
        <v>7.0000000000000007E-2</v>
      </c>
      <c r="H4" s="27">
        <v>6.8000000000000005E-2</v>
      </c>
      <c r="I4" s="27">
        <v>6.5000000000000002E-2</v>
      </c>
      <c r="J4" s="27">
        <v>6.5000000000000002E-2</v>
      </c>
    </row>
    <row r="5" spans="1:10" x14ac:dyDescent="0.2">
      <c r="C5" s="18"/>
      <c r="D5" s="18"/>
      <c r="E5" s="21"/>
      <c r="F5" s="7"/>
      <c r="G5" s="7"/>
      <c r="H5" s="7"/>
      <c r="I5" s="7"/>
      <c r="J5" s="7"/>
    </row>
    <row r="6" spans="1:10" x14ac:dyDescent="0.2">
      <c r="A6" s="3" t="s">
        <v>159</v>
      </c>
      <c r="C6" s="18"/>
      <c r="D6" s="18"/>
      <c r="E6" s="21"/>
      <c r="F6" s="7"/>
      <c r="G6" s="7"/>
      <c r="H6" s="7"/>
      <c r="I6" s="7"/>
      <c r="J6" s="7"/>
    </row>
    <row r="7" spans="1:10" x14ac:dyDescent="0.2">
      <c r="A7" t="s">
        <v>160</v>
      </c>
      <c r="C7" s="19">
        <f>IS!C29/IS!C5</f>
        <v>0.25642266195752095</v>
      </c>
      <c r="D7" s="19">
        <f>IS!D29/IS!D5</f>
        <v>0.23724864970391099</v>
      </c>
      <c r="E7" s="20">
        <f>IS!E29/IS!E5</f>
        <v>0.23329038591324622</v>
      </c>
      <c r="F7" s="27">
        <v>0.23300000000000001</v>
      </c>
      <c r="G7" s="27">
        <v>0.23400000000000001</v>
      </c>
      <c r="H7" s="27">
        <v>0.23499999999999999</v>
      </c>
      <c r="I7" s="27">
        <v>0.23499999999999999</v>
      </c>
      <c r="J7" s="27">
        <v>0.23499999999999999</v>
      </c>
    </row>
    <row r="8" spans="1:10" x14ac:dyDescent="0.2">
      <c r="A8" t="s">
        <v>161</v>
      </c>
      <c r="C8" s="19">
        <f>IS!C27/IS!C5</f>
        <v>0.18762397793797475</v>
      </c>
      <c r="D8" s="19">
        <f>IS!D27/IS!D5</f>
        <v>0.17080757467300059</v>
      </c>
      <c r="E8" s="20">
        <f>IS!E27/IS!E5</f>
        <v>0.16412049819007302</v>
      </c>
      <c r="F8" s="27">
        <v>0.16500000000000001</v>
      </c>
      <c r="G8" s="27">
        <v>0.16500000000000001</v>
      </c>
      <c r="H8" s="27">
        <v>0.16600000000000001</v>
      </c>
      <c r="I8" s="27">
        <v>0.16600000000000001</v>
      </c>
      <c r="J8" s="27">
        <v>0.16700000000000001</v>
      </c>
    </row>
    <row r="9" spans="1:10" x14ac:dyDescent="0.2">
      <c r="C9" s="18"/>
      <c r="D9" s="18"/>
      <c r="E9" s="21"/>
      <c r="F9" s="7"/>
      <c r="G9" s="7"/>
      <c r="H9" s="7"/>
      <c r="I9" s="7"/>
      <c r="J9" s="7"/>
    </row>
    <row r="10" spans="1:10" x14ac:dyDescent="0.2">
      <c r="A10" s="3" t="s">
        <v>162</v>
      </c>
      <c r="C10" s="18"/>
      <c r="D10" s="18"/>
      <c r="E10" s="21"/>
      <c r="F10" s="7"/>
      <c r="G10" s="7"/>
      <c r="H10" s="7"/>
      <c r="I10" s="7"/>
      <c r="J10" s="7"/>
    </row>
    <row r="11" spans="1:10" x14ac:dyDescent="0.2">
      <c r="A11" t="s">
        <v>163</v>
      </c>
      <c r="C11" s="22">
        <f>BS!C25/IS!C5*365</f>
        <v>61.139427806537967</v>
      </c>
      <c r="D11" s="22">
        <f>BS!D25/IS!D5*365</f>
        <v>71.715006182078483</v>
      </c>
      <c r="E11" s="23">
        <f>BS!E25/IS!E5*365</f>
        <v>69.775262286029815</v>
      </c>
      <c r="F11" s="7">
        <v>70</v>
      </c>
      <c r="G11" s="7">
        <v>69</v>
      </c>
      <c r="H11" s="7">
        <v>69</v>
      </c>
      <c r="I11" s="7">
        <v>68</v>
      </c>
      <c r="J11" s="7">
        <v>68</v>
      </c>
    </row>
    <row r="12" spans="1:10" ht="17" x14ac:dyDescent="0.25">
      <c r="A12" t="s">
        <v>164</v>
      </c>
      <c r="C12" s="24">
        <f>BS!C56/IS!C19*365</f>
        <v>9.2018081679309986</v>
      </c>
      <c r="D12" s="24">
        <f>BS!D56/IS!D19*365</f>
        <v>11.797570122474326</v>
      </c>
      <c r="E12" s="25">
        <f>BS!E56/IS!E19*365</f>
        <v>11.78350467507094</v>
      </c>
      <c r="F12" s="7">
        <v>12</v>
      </c>
      <c r="G12" s="7">
        <v>12</v>
      </c>
      <c r="H12" s="7">
        <v>11</v>
      </c>
      <c r="I12" s="7">
        <v>11</v>
      </c>
      <c r="J12" s="7">
        <v>11</v>
      </c>
    </row>
    <row r="13" spans="1:10" x14ac:dyDescent="0.2">
      <c r="A13" t="s">
        <v>165</v>
      </c>
      <c r="C13" s="18">
        <v>0</v>
      </c>
      <c r="D13" s="18">
        <v>0</v>
      </c>
      <c r="E13" s="21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</row>
    <row r="14" spans="1:10" x14ac:dyDescent="0.2">
      <c r="C14" s="18"/>
      <c r="D14" s="18"/>
      <c r="E14" s="21"/>
      <c r="F14" s="7"/>
      <c r="G14" s="7"/>
      <c r="H14" s="7"/>
      <c r="I14" s="7"/>
      <c r="J14" s="7"/>
    </row>
    <row r="15" spans="1:10" x14ac:dyDescent="0.2">
      <c r="A15" s="3" t="s">
        <v>166</v>
      </c>
      <c r="C15" s="18"/>
      <c r="D15" s="18"/>
      <c r="E15" s="21"/>
      <c r="F15" s="7"/>
      <c r="G15" s="7"/>
      <c r="H15" s="7"/>
      <c r="I15" s="7"/>
      <c r="J15" s="7"/>
    </row>
    <row r="16" spans="1:10" x14ac:dyDescent="0.2">
      <c r="A16" t="s">
        <v>167</v>
      </c>
      <c r="C16" s="19">
        <f>CFS!C32/IS!C5</f>
        <v>-1.7175480187720742E-2</v>
      </c>
      <c r="D16" s="19">
        <f>CFS!D32/IS!D5</f>
        <v>-1.4322899720179605E-2</v>
      </c>
      <c r="E16" s="20">
        <f>CFS!E32/IS!E5</f>
        <v>-1.3724768390698815E-2</v>
      </c>
      <c r="F16" s="27">
        <v>-1.4E-2</v>
      </c>
      <c r="G16" s="27">
        <v>-1.4E-2</v>
      </c>
      <c r="H16" s="27">
        <v>-1.4500000000000001E-2</v>
      </c>
      <c r="I16" s="27">
        <v>-1.47E-2</v>
      </c>
      <c r="J16" s="27">
        <v>-1.4999999999999999E-2</v>
      </c>
    </row>
    <row r="18" spans="1:10" x14ac:dyDescent="0.2">
      <c r="A18" t="s">
        <v>175</v>
      </c>
      <c r="C18" s="19">
        <f>(IS!C23+IS!C24)/IS!C21</f>
        <v>0.2646714913250956</v>
      </c>
      <c r="D18" s="19">
        <f>(IS!D23+IS!D24)/IS!D21</f>
        <v>0.27064577081249308</v>
      </c>
      <c r="E18" s="19">
        <f>(IS!E23+IS!E24)/IS!E21</f>
        <v>0.28871516698574773</v>
      </c>
      <c r="F18" s="27">
        <v>0.28000000000000003</v>
      </c>
      <c r="G18" s="27">
        <v>0.28000000000000003</v>
      </c>
      <c r="H18" s="27">
        <v>0.28000000000000003</v>
      </c>
      <c r="I18" s="27">
        <v>0.28000000000000003</v>
      </c>
      <c r="J18" s="27">
        <v>0.28000000000000003</v>
      </c>
    </row>
    <row r="19" spans="1:10" x14ac:dyDescent="0.2">
      <c r="E19" s="16"/>
    </row>
    <row r="20" spans="1:10" x14ac:dyDescent="0.2">
      <c r="A20" t="s">
        <v>189</v>
      </c>
      <c r="C20" s="19">
        <v>8.5000000000000006E-2</v>
      </c>
      <c r="D20" s="19">
        <v>8.5000000000000006E-2</v>
      </c>
      <c r="E20" s="19">
        <v>8.5000000000000006E-2</v>
      </c>
      <c r="F20" s="27">
        <v>8.5000000000000006E-2</v>
      </c>
      <c r="G20" s="27">
        <v>8.5000000000000006E-2</v>
      </c>
      <c r="H20" s="27">
        <v>8.5000000000000006E-2</v>
      </c>
      <c r="I20" s="27">
        <v>8.5000000000000006E-2</v>
      </c>
      <c r="J20" s="27">
        <v>8.5000000000000006E-2</v>
      </c>
    </row>
    <row r="21" spans="1:10" x14ac:dyDescent="0.2">
      <c r="E21" s="16"/>
    </row>
    <row r="22" spans="1:10" x14ac:dyDescent="0.2">
      <c r="A22" t="s">
        <v>190</v>
      </c>
      <c r="C22" s="19">
        <v>0.65</v>
      </c>
      <c r="D22" s="19">
        <v>0.65</v>
      </c>
      <c r="E22" s="19">
        <v>0.65</v>
      </c>
      <c r="F22" s="27">
        <v>0.65</v>
      </c>
      <c r="G22" s="27">
        <v>0.65</v>
      </c>
      <c r="H22" s="27">
        <v>0.65</v>
      </c>
      <c r="I22" s="27">
        <v>0.65</v>
      </c>
      <c r="J22" s="27">
        <v>0.65</v>
      </c>
    </row>
    <row r="23" spans="1:10" x14ac:dyDescent="0.2">
      <c r="E23" s="16"/>
    </row>
    <row r="24" spans="1:10" x14ac:dyDescent="0.2">
      <c r="A24" s="35" t="s">
        <v>191</v>
      </c>
      <c r="C24" s="19">
        <v>0.3</v>
      </c>
      <c r="D24" s="19">
        <v>0.3</v>
      </c>
      <c r="E24" s="19">
        <v>0.3</v>
      </c>
      <c r="F24" s="27">
        <v>0.3</v>
      </c>
      <c r="G24" s="27">
        <v>0.3</v>
      </c>
      <c r="H24" s="27">
        <v>0.3</v>
      </c>
      <c r="I24" s="27">
        <v>0.3</v>
      </c>
      <c r="J24" s="27">
        <v>0.3</v>
      </c>
    </row>
    <row r="25" spans="1:10" x14ac:dyDescent="0.2">
      <c r="E25" s="16"/>
    </row>
    <row r="26" spans="1:10" x14ac:dyDescent="0.2">
      <c r="A26" s="35" t="s">
        <v>192</v>
      </c>
      <c r="C26" s="19">
        <v>0.01</v>
      </c>
      <c r="D26" s="19">
        <v>0.01</v>
      </c>
      <c r="E26" s="19">
        <v>0.01</v>
      </c>
      <c r="F26" s="27">
        <v>0.01</v>
      </c>
      <c r="G26" s="27">
        <v>0.01</v>
      </c>
      <c r="H26" s="27">
        <v>0.01</v>
      </c>
      <c r="I26" s="27">
        <v>0.01</v>
      </c>
      <c r="J26" s="27">
        <v>0.01</v>
      </c>
    </row>
    <row r="27" spans="1:10" x14ac:dyDescent="0.2">
      <c r="E27" s="16"/>
    </row>
    <row r="28" spans="1:10" x14ac:dyDescent="0.2">
      <c r="E28" s="1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B812B-519E-F843-B3E5-803D8C044B3C}">
  <sheetPr>
    <tabColor theme="2" tint="-0.249977111117893"/>
  </sheetPr>
  <dimension ref="A1:J57"/>
  <sheetViews>
    <sheetView tabSelected="1" zoomScaleNormal="75" workbookViewId="0">
      <pane xSplit="1" topLeftCell="B1" activePane="topRight" state="frozen"/>
      <selection pane="topRight" activeCell="L18" sqref="L18"/>
    </sheetView>
  </sheetViews>
  <sheetFormatPr baseColWidth="10" defaultRowHeight="16" x14ac:dyDescent="0.2"/>
  <cols>
    <col min="1" max="1" width="64" customWidth="1"/>
    <col min="3" max="5" width="13.1640625" bestFit="1" customWidth="1"/>
  </cols>
  <sheetData>
    <row r="1" spans="1:10" x14ac:dyDescent="0.2">
      <c r="A1" s="3" t="s">
        <v>0</v>
      </c>
    </row>
    <row r="2" spans="1:10" x14ac:dyDescent="0.2">
      <c r="A2" s="3" t="s">
        <v>1</v>
      </c>
    </row>
    <row r="4" spans="1:10" x14ac:dyDescent="0.2">
      <c r="A4" s="5" t="s">
        <v>2</v>
      </c>
      <c r="B4" s="5"/>
      <c r="C4" s="5" t="s">
        <v>3</v>
      </c>
      <c r="D4" s="5" t="s">
        <v>4</v>
      </c>
      <c r="E4" s="5" t="s">
        <v>5</v>
      </c>
      <c r="F4" s="5" t="s">
        <v>169</v>
      </c>
      <c r="G4" s="5" t="s">
        <v>170</v>
      </c>
      <c r="H4" s="5" t="s">
        <v>171</v>
      </c>
      <c r="I4" s="5" t="s">
        <v>172</v>
      </c>
      <c r="J4" s="5" t="s">
        <v>173</v>
      </c>
    </row>
    <row r="5" spans="1:10" x14ac:dyDescent="0.2">
      <c r="A5" t="s">
        <v>6</v>
      </c>
      <c r="C5" s="6">
        <v>124014</v>
      </c>
      <c r="D5" s="6">
        <v>153670</v>
      </c>
      <c r="E5" s="6">
        <v>162990</v>
      </c>
      <c r="F5" s="30">
        <f>E5*(1+Assumptions!F4)</f>
        <v>174399.30000000002</v>
      </c>
      <c r="G5" s="30">
        <f>F5*(1+Assumptions!G4)</f>
        <v>186607.25100000002</v>
      </c>
      <c r="H5" s="30">
        <f>G5*(1+Assumptions!H4)</f>
        <v>199296.54406800002</v>
      </c>
      <c r="I5" s="30">
        <f>H5*(1+Assumptions!I4)</f>
        <v>212250.81943242002</v>
      </c>
      <c r="J5" s="30">
        <f>I5*(1+Assumptions!J4)</f>
        <v>226047.1226955273</v>
      </c>
    </row>
    <row r="6" spans="1:10" x14ac:dyDescent="0.2">
      <c r="A6" t="s">
        <v>7</v>
      </c>
      <c r="C6" s="6">
        <v>3859</v>
      </c>
      <c r="D6" s="6">
        <v>4711</v>
      </c>
      <c r="E6" s="6">
        <v>3600</v>
      </c>
      <c r="F6" s="30">
        <f>F5*0.025</f>
        <v>4359.982500000001</v>
      </c>
      <c r="G6" s="30">
        <f t="shared" ref="G6:J6" si="0">G5*0.025</f>
        <v>4665.1812750000008</v>
      </c>
      <c r="H6" s="30">
        <f t="shared" si="0"/>
        <v>4982.413601700001</v>
      </c>
      <c r="I6" s="30">
        <f t="shared" si="0"/>
        <v>5306.2704858105008</v>
      </c>
      <c r="J6" s="30">
        <f t="shared" si="0"/>
        <v>5651.1780673881831</v>
      </c>
    </row>
    <row r="7" spans="1:10" x14ac:dyDescent="0.2">
      <c r="A7" s="3" t="s">
        <v>8</v>
      </c>
      <c r="C7" s="6">
        <v>127873</v>
      </c>
      <c r="D7" s="6">
        <v>158381</v>
      </c>
      <c r="E7" s="6">
        <v>166590</v>
      </c>
      <c r="F7" s="30">
        <f>F5+F6</f>
        <v>178759.28250000003</v>
      </c>
      <c r="G7" s="30">
        <f t="shared" ref="G7:J7" si="1">G5+G6</f>
        <v>191272.43227500003</v>
      </c>
      <c r="H7" s="30">
        <f t="shared" si="1"/>
        <v>204278.95766970003</v>
      </c>
      <c r="I7" s="30">
        <f t="shared" si="1"/>
        <v>217557.08991823051</v>
      </c>
      <c r="J7" s="30">
        <f t="shared" si="1"/>
        <v>231698.30076291549</v>
      </c>
    </row>
    <row r="8" spans="1:10" x14ac:dyDescent="0.2">
      <c r="C8" s="7"/>
      <c r="D8" s="7"/>
      <c r="E8" s="7"/>
      <c r="F8" s="30"/>
      <c r="G8" s="30"/>
      <c r="H8" s="30"/>
      <c r="I8" s="30"/>
      <c r="J8" s="30"/>
    </row>
    <row r="9" spans="1:10" x14ac:dyDescent="0.2">
      <c r="A9" s="12" t="s">
        <v>9</v>
      </c>
      <c r="C9" s="7"/>
      <c r="D9" s="7"/>
      <c r="E9" s="7"/>
      <c r="F9" s="30"/>
      <c r="G9" s="30"/>
      <c r="H9" s="30"/>
      <c r="I9" s="30"/>
      <c r="J9" s="30"/>
    </row>
    <row r="10" spans="1:10" x14ac:dyDescent="0.2">
      <c r="A10" s="8" t="s">
        <v>10</v>
      </c>
      <c r="C10" s="6">
        <v>62764</v>
      </c>
      <c r="D10" s="6">
        <v>82620</v>
      </c>
      <c r="E10" s="6">
        <v>85950</v>
      </c>
      <c r="F10" s="30">
        <f>F5*(E10/E5)</f>
        <v>91966.500000000015</v>
      </c>
      <c r="G10" s="30">
        <f t="shared" ref="G10:J10" si="2">G5*(F10/F5)</f>
        <v>98404.155000000013</v>
      </c>
      <c r="H10" s="30">
        <f t="shared" si="2"/>
        <v>105095.63754000001</v>
      </c>
      <c r="I10" s="30">
        <f t="shared" si="2"/>
        <v>111926.85398010002</v>
      </c>
      <c r="J10" s="30">
        <f t="shared" si="2"/>
        <v>119202.0994888065</v>
      </c>
    </row>
    <row r="11" spans="1:10" x14ac:dyDescent="0.2">
      <c r="A11" s="8" t="s">
        <v>11</v>
      </c>
      <c r="C11" s="6">
        <v>19096</v>
      </c>
      <c r="D11" s="6">
        <v>12232</v>
      </c>
      <c r="E11" s="6">
        <v>12937</v>
      </c>
      <c r="F11" s="30">
        <f>F5*(E11/E5)</f>
        <v>13842.590000000002</v>
      </c>
      <c r="G11" s="30">
        <f t="shared" ref="G11:J11" si="3">G5*(F11/F5)</f>
        <v>14811.571300000001</v>
      </c>
      <c r="H11" s="30">
        <f t="shared" si="3"/>
        <v>15818.758148400002</v>
      </c>
      <c r="I11" s="30">
        <f t="shared" si="3"/>
        <v>16846.977428046001</v>
      </c>
      <c r="J11" s="30">
        <f t="shared" si="3"/>
        <v>17942.030960868989</v>
      </c>
    </row>
    <row r="12" spans="1:10" x14ac:dyDescent="0.2">
      <c r="A12" s="8" t="s">
        <v>12</v>
      </c>
      <c r="C12" s="6">
        <v>1227</v>
      </c>
      <c r="D12" s="6">
        <v>1759</v>
      </c>
      <c r="E12" s="6">
        <v>1894</v>
      </c>
      <c r="F12" s="30">
        <f>F5*(E12/E5)</f>
        <v>2026.5800000000002</v>
      </c>
      <c r="G12" s="30">
        <f t="shared" ref="G12:J12" si="4">G5*(F12/F5)</f>
        <v>2168.4406000000004</v>
      </c>
      <c r="H12" s="30">
        <f t="shared" si="4"/>
        <v>2315.8945608000004</v>
      </c>
      <c r="I12" s="30">
        <f t="shared" si="4"/>
        <v>2466.4277072520003</v>
      </c>
      <c r="J12" s="30">
        <f t="shared" si="4"/>
        <v>2626.7455082233801</v>
      </c>
    </row>
    <row r="13" spans="1:10" x14ac:dyDescent="0.2">
      <c r="A13" s="8" t="s">
        <v>21</v>
      </c>
      <c r="C13" s="6">
        <v>5214</v>
      </c>
      <c r="D13" s="6">
        <v>13515</v>
      </c>
      <c r="E13" s="6">
        <v>15911</v>
      </c>
      <c r="F13" s="30">
        <f>F5*(E13/E5)</f>
        <v>17024.77</v>
      </c>
      <c r="G13" s="30">
        <f t="shared" ref="G13:J13" si="5">G5*(F13/F5)</f>
        <v>18216.503900000003</v>
      </c>
      <c r="H13" s="30">
        <f t="shared" si="5"/>
        <v>19455.226165200005</v>
      </c>
      <c r="I13" s="30">
        <f t="shared" si="5"/>
        <v>20719.815865938006</v>
      </c>
      <c r="J13" s="30">
        <f t="shared" si="5"/>
        <v>22066.603897223977</v>
      </c>
    </row>
    <row r="14" spans="1:10" x14ac:dyDescent="0.2">
      <c r="A14" s="8" t="s">
        <v>13</v>
      </c>
      <c r="C14" s="6">
        <v>502</v>
      </c>
      <c r="D14" s="6">
        <v>677</v>
      </c>
      <c r="E14" s="7">
        <v>620</v>
      </c>
      <c r="F14" s="30">
        <f>F5*(E14/E5)</f>
        <v>663.40000000000009</v>
      </c>
      <c r="G14" s="30">
        <f t="shared" ref="G14:J14" si="6">G5*(F14/F5)</f>
        <v>709.83800000000008</v>
      </c>
      <c r="H14" s="30">
        <f t="shared" si="6"/>
        <v>758.10698400000012</v>
      </c>
      <c r="I14" s="30">
        <f t="shared" si="6"/>
        <v>807.38393796000014</v>
      </c>
      <c r="J14" s="30">
        <f t="shared" si="6"/>
        <v>859.8638939274</v>
      </c>
    </row>
    <row r="15" spans="1:10" x14ac:dyDescent="0.2">
      <c r="A15" s="8" t="s">
        <v>22</v>
      </c>
      <c r="C15" s="6">
        <v>1236</v>
      </c>
      <c r="D15" s="6">
        <v>1726</v>
      </c>
      <c r="E15" s="6">
        <v>1655</v>
      </c>
      <c r="F15" s="30">
        <f>F5*(E15/E5)</f>
        <v>1770.8500000000001</v>
      </c>
      <c r="G15" s="30">
        <f t="shared" ref="G15:J15" si="7">G5*(F15/F5)</f>
        <v>1894.8095000000003</v>
      </c>
      <c r="H15" s="30">
        <f t="shared" si="7"/>
        <v>2023.6565460000002</v>
      </c>
      <c r="I15" s="30">
        <f t="shared" si="7"/>
        <v>2155.19422149</v>
      </c>
      <c r="J15" s="30">
        <f t="shared" si="7"/>
        <v>2295.2818458868501</v>
      </c>
    </row>
    <row r="16" spans="1:10" x14ac:dyDescent="0.2">
      <c r="A16" s="8" t="s">
        <v>23</v>
      </c>
      <c r="C16" s="6">
        <v>2753</v>
      </c>
      <c r="D16" s="6">
        <v>4678</v>
      </c>
      <c r="E16" s="6">
        <v>4812</v>
      </c>
      <c r="F16" s="32">
        <f>F5*(E16/E5)</f>
        <v>5148.8400000000011</v>
      </c>
      <c r="G16" s="32">
        <f t="shared" ref="G16:J16" si="8">G5*(F16/F5)</f>
        <v>5509.2588000000014</v>
      </c>
      <c r="H16" s="32">
        <f t="shared" si="8"/>
        <v>5883.8883984000013</v>
      </c>
      <c r="I16" s="32">
        <f t="shared" si="8"/>
        <v>6266.3411442960014</v>
      </c>
      <c r="J16" s="32">
        <f t="shared" si="8"/>
        <v>6673.6533186752413</v>
      </c>
    </row>
    <row r="17" spans="1:10" x14ac:dyDescent="0.2">
      <c r="A17" s="8" t="s">
        <v>14</v>
      </c>
      <c r="C17" s="6">
        <v>157</v>
      </c>
      <c r="D17" s="6">
        <v>470</v>
      </c>
      <c r="E17" s="7">
        <v>416</v>
      </c>
      <c r="F17" s="30">
        <f t="shared" ref="F17:J17" si="9">F5*(E17/E5)</f>
        <v>445.12000000000006</v>
      </c>
      <c r="G17" s="30">
        <f t="shared" si="9"/>
        <v>476.27840000000003</v>
      </c>
      <c r="H17" s="30">
        <f t="shared" si="9"/>
        <v>508.66533120000003</v>
      </c>
      <c r="I17" s="30">
        <f t="shared" si="9"/>
        <v>541.728577728</v>
      </c>
      <c r="J17" s="30">
        <f t="shared" si="9"/>
        <v>576.94093528031999</v>
      </c>
    </row>
    <row r="18" spans="1:10" x14ac:dyDescent="0.2">
      <c r="A18" s="8" t="s">
        <v>15</v>
      </c>
      <c r="C18" s="6">
        <v>3281</v>
      </c>
      <c r="D18" s="6">
        <v>4716</v>
      </c>
      <c r="E18" s="6">
        <v>4787</v>
      </c>
      <c r="F18" s="30">
        <f>F5*(E18/E5)</f>
        <v>5122.0900000000011</v>
      </c>
      <c r="G18" s="30">
        <f t="shared" ref="G18:J18" si="10">G5*(F18/F5)</f>
        <v>5480.636300000001</v>
      </c>
      <c r="H18" s="30">
        <f t="shared" si="10"/>
        <v>5853.3195684000011</v>
      </c>
      <c r="I18" s="30">
        <f t="shared" si="10"/>
        <v>6233.7853403460012</v>
      </c>
      <c r="J18" s="30">
        <f t="shared" si="10"/>
        <v>6638.9813874684914</v>
      </c>
    </row>
    <row r="19" spans="1:10" x14ac:dyDescent="0.2">
      <c r="A19" s="3" t="s">
        <v>16</v>
      </c>
      <c r="C19" s="6">
        <v>96230</v>
      </c>
      <c r="D19" s="6">
        <v>122393</v>
      </c>
      <c r="E19" s="6">
        <v>128982</v>
      </c>
      <c r="F19" s="30">
        <f>F10+F11+F12+F13+F14+F15+F16+F17+F18</f>
        <v>138010.74000000002</v>
      </c>
      <c r="G19" s="30">
        <f t="shared" ref="G19:J19" si="11">G10+G11+G12+G13+G14+G15+G16+G17+G18</f>
        <v>147671.49180000005</v>
      </c>
      <c r="H19" s="30">
        <f t="shared" si="11"/>
        <v>157713.15324240006</v>
      </c>
      <c r="I19" s="30">
        <f t="shared" si="11"/>
        <v>167964.508203156</v>
      </c>
      <c r="J19" s="30">
        <f t="shared" si="11"/>
        <v>178882.20123636114</v>
      </c>
    </row>
    <row r="20" spans="1:10" x14ac:dyDescent="0.2">
      <c r="A20" s="3"/>
      <c r="C20" s="7"/>
      <c r="D20" s="6"/>
      <c r="E20" s="7"/>
      <c r="F20" s="30"/>
      <c r="G20" s="30"/>
      <c r="H20" s="30"/>
      <c r="I20" s="30"/>
      <c r="J20" s="30"/>
    </row>
    <row r="21" spans="1:10" x14ac:dyDescent="0.2">
      <c r="A21" s="12" t="s">
        <v>17</v>
      </c>
      <c r="C21" s="6">
        <v>31643</v>
      </c>
      <c r="D21" s="6">
        <v>35988</v>
      </c>
      <c r="E21" s="6">
        <v>37608</v>
      </c>
      <c r="F21" s="30">
        <f>F29-F17+F6</f>
        <v>44549.899400000002</v>
      </c>
      <c r="G21" s="30">
        <f t="shared" ref="G21:J21" si="12">G29-G17+G6</f>
        <v>47854.999609000006</v>
      </c>
      <c r="H21" s="30">
        <f t="shared" si="12"/>
        <v>51308.436126480003</v>
      </c>
      <c r="I21" s="30">
        <f t="shared" si="12"/>
        <v>54643.484474701203</v>
      </c>
      <c r="J21" s="30">
        <f t="shared" si="12"/>
        <v>58195.310965556775</v>
      </c>
    </row>
    <row r="22" spans="1:10" x14ac:dyDescent="0.2">
      <c r="C22" s="7"/>
      <c r="D22" s="7"/>
      <c r="E22" s="7"/>
      <c r="F22" s="30"/>
      <c r="G22" s="30"/>
      <c r="H22" s="30"/>
      <c r="I22" s="30"/>
      <c r="J22" s="30"/>
    </row>
    <row r="23" spans="1:10" x14ac:dyDescent="0.2">
      <c r="A23" t="s">
        <v>18</v>
      </c>
      <c r="C23" s="6">
        <v>8167</v>
      </c>
      <c r="D23" s="6">
        <v>8390</v>
      </c>
      <c r="E23" s="6">
        <v>12130</v>
      </c>
      <c r="F23" s="30"/>
      <c r="G23" s="30"/>
      <c r="H23" s="30"/>
      <c r="I23" s="30"/>
      <c r="J23" s="30"/>
    </row>
    <row r="24" spans="1:10" x14ac:dyDescent="0.2">
      <c r="A24" t="s">
        <v>19</v>
      </c>
      <c r="C24" s="7">
        <v>208</v>
      </c>
      <c r="D24" s="6">
        <v>1350</v>
      </c>
      <c r="E24" s="6">
        <v>-1272</v>
      </c>
      <c r="F24" s="30"/>
      <c r="G24" s="30"/>
      <c r="H24" s="30"/>
      <c r="I24" s="30"/>
      <c r="J24" s="30"/>
    </row>
    <row r="25" spans="1:10" x14ac:dyDescent="0.2">
      <c r="A25" s="12" t="s">
        <v>176</v>
      </c>
      <c r="C25" s="6">
        <f>C23+C24</f>
        <v>8375</v>
      </c>
      <c r="D25" s="6">
        <f t="shared" ref="D25:E25" si="13">D23+D24</f>
        <v>9740</v>
      </c>
      <c r="E25" s="6">
        <f t="shared" si="13"/>
        <v>10858</v>
      </c>
      <c r="F25" s="31">
        <f>F21*Assumptions!F18</f>
        <v>12473.971832000001</v>
      </c>
      <c r="G25" s="31">
        <f>G21*Assumptions!G18</f>
        <v>13399.399890520002</v>
      </c>
      <c r="H25" s="31">
        <f>H21*Assumptions!H18</f>
        <v>14366.362115414402</v>
      </c>
      <c r="I25" s="31">
        <f>I21*Assumptions!I18</f>
        <v>15300.175652916338</v>
      </c>
      <c r="J25" s="31">
        <f>J21*Assumptions!J18</f>
        <v>16294.687070355898</v>
      </c>
    </row>
    <row r="26" spans="1:10" x14ac:dyDescent="0.2">
      <c r="F26" s="30"/>
      <c r="G26" s="30"/>
      <c r="H26" s="30"/>
      <c r="I26" s="30"/>
      <c r="J26" s="30"/>
    </row>
    <row r="27" spans="1:10" x14ac:dyDescent="0.2">
      <c r="A27" s="12" t="s">
        <v>20</v>
      </c>
      <c r="C27" s="6">
        <v>23268</v>
      </c>
      <c r="D27" s="6">
        <v>26248</v>
      </c>
      <c r="E27" s="6">
        <v>26750</v>
      </c>
      <c r="F27" s="30">
        <f>F21-F25</f>
        <v>32075.927567999999</v>
      </c>
      <c r="G27" s="30">
        <f t="shared" ref="G27:J27" si="14">G21-G25</f>
        <v>34455.599718480007</v>
      </c>
      <c r="H27" s="30">
        <f t="shared" si="14"/>
        <v>36942.074011065604</v>
      </c>
      <c r="I27" s="30">
        <f t="shared" si="14"/>
        <v>39343.308821784864</v>
      </c>
      <c r="J27" s="30">
        <f t="shared" si="14"/>
        <v>41900.623895200879</v>
      </c>
    </row>
    <row r="28" spans="1:10" x14ac:dyDescent="0.2">
      <c r="F28" s="30"/>
      <c r="G28" s="30"/>
      <c r="H28" s="30"/>
      <c r="I28" s="30"/>
      <c r="J28" s="30"/>
    </row>
    <row r="29" spans="1:10" x14ac:dyDescent="0.2">
      <c r="A29" s="28" t="s">
        <v>168</v>
      </c>
      <c r="C29" s="6">
        <f>C17+C21</f>
        <v>31800</v>
      </c>
      <c r="D29" s="6">
        <f>D17+D21</f>
        <v>36458</v>
      </c>
      <c r="E29" s="6">
        <f>E17+E21</f>
        <v>38024</v>
      </c>
      <c r="F29" s="31">
        <f>F5*Assumptions!F7</f>
        <v>40635.036900000006</v>
      </c>
      <c r="G29" s="31">
        <f>G5*Assumptions!G7</f>
        <v>43666.096734000006</v>
      </c>
      <c r="H29" s="31">
        <f>H5*Assumptions!H7</f>
        <v>46834.687855980002</v>
      </c>
      <c r="I29" s="31">
        <f>I5*Assumptions!I7</f>
        <v>49878.942566618702</v>
      </c>
      <c r="J29" s="31">
        <f>J5*Assumptions!J7</f>
        <v>53121.073833448914</v>
      </c>
    </row>
    <row r="31" spans="1:10" x14ac:dyDescent="0.2">
      <c r="A31" s="12" t="s">
        <v>132</v>
      </c>
    </row>
    <row r="32" spans="1:10" x14ac:dyDescent="0.2">
      <c r="A32" t="s">
        <v>133</v>
      </c>
    </row>
    <row r="33" spans="1:5" x14ac:dyDescent="0.2">
      <c r="A33" s="8" t="s">
        <v>134</v>
      </c>
      <c r="C33" s="7">
        <v>-19</v>
      </c>
      <c r="D33" s="7">
        <v>0</v>
      </c>
      <c r="E33" s="7">
        <v>-92</v>
      </c>
    </row>
    <row r="34" spans="1:5" x14ac:dyDescent="0.2">
      <c r="A34" s="8" t="s">
        <v>135</v>
      </c>
      <c r="C34" s="7">
        <v>-6</v>
      </c>
      <c r="D34" s="7">
        <v>0</v>
      </c>
      <c r="E34" s="7">
        <v>19</v>
      </c>
    </row>
    <row r="35" spans="1:5" x14ac:dyDescent="0.2">
      <c r="A35" t="s">
        <v>136</v>
      </c>
      <c r="C35" s="7"/>
      <c r="D35" s="7"/>
      <c r="E35" s="7"/>
    </row>
    <row r="36" spans="1:5" x14ac:dyDescent="0.2">
      <c r="A36" s="8" t="s">
        <v>137</v>
      </c>
      <c r="C36" s="7">
        <v>-7</v>
      </c>
      <c r="D36" s="7">
        <v>0</v>
      </c>
      <c r="E36" s="7">
        <v>-24</v>
      </c>
    </row>
    <row r="37" spans="1:5" x14ac:dyDescent="0.2">
      <c r="A37" s="8" t="s">
        <v>138</v>
      </c>
      <c r="C37" s="7">
        <v>-236</v>
      </c>
      <c r="D37" s="7">
        <v>0</v>
      </c>
      <c r="E37" s="7">
        <v>199</v>
      </c>
    </row>
    <row r="38" spans="1:5" x14ac:dyDescent="0.2">
      <c r="A38" s="3" t="s">
        <v>139</v>
      </c>
      <c r="C38" s="14">
        <v>-268</v>
      </c>
      <c r="D38" s="7">
        <v>0</v>
      </c>
      <c r="E38" s="7">
        <v>459</v>
      </c>
    </row>
    <row r="39" spans="1:5" x14ac:dyDescent="0.2">
      <c r="A39" s="3" t="s">
        <v>140</v>
      </c>
      <c r="C39" s="11">
        <v>23000</v>
      </c>
      <c r="D39" s="11">
        <v>0</v>
      </c>
      <c r="E39" s="11">
        <v>27209</v>
      </c>
    </row>
    <row r="40" spans="1:5" x14ac:dyDescent="0.2">
      <c r="A40" s="3"/>
      <c r="C40" s="7"/>
      <c r="D40" s="7"/>
      <c r="E40" s="7"/>
    </row>
    <row r="41" spans="1:5" x14ac:dyDescent="0.2">
      <c r="A41" s="12" t="s">
        <v>148</v>
      </c>
      <c r="C41" s="7"/>
      <c r="D41" s="7"/>
      <c r="E41" s="7"/>
    </row>
    <row r="42" spans="1:5" x14ac:dyDescent="0.2">
      <c r="A42" t="s">
        <v>149</v>
      </c>
      <c r="C42" s="7">
        <v>0</v>
      </c>
      <c r="D42" s="6">
        <v>26233</v>
      </c>
      <c r="E42" s="6">
        <v>26713</v>
      </c>
    </row>
    <row r="43" spans="1:5" x14ac:dyDescent="0.2">
      <c r="A43" t="s">
        <v>65</v>
      </c>
      <c r="C43" s="7">
        <v>0</v>
      </c>
      <c r="D43" s="7">
        <v>15</v>
      </c>
      <c r="E43" s="7">
        <v>37</v>
      </c>
    </row>
    <row r="44" spans="1:5" x14ac:dyDescent="0.2">
      <c r="C44" s="14">
        <v>0</v>
      </c>
      <c r="D44" s="11">
        <v>26248</v>
      </c>
      <c r="E44" s="11">
        <v>26750</v>
      </c>
    </row>
    <row r="45" spans="1:5" x14ac:dyDescent="0.2">
      <c r="C45" s="7"/>
      <c r="D45" s="7"/>
      <c r="E45" s="7"/>
    </row>
    <row r="46" spans="1:5" x14ac:dyDescent="0.2">
      <c r="A46" s="12" t="s">
        <v>150</v>
      </c>
      <c r="C46" s="7"/>
      <c r="D46" s="7"/>
      <c r="E46" s="7"/>
    </row>
    <row r="47" spans="1:5" x14ac:dyDescent="0.2">
      <c r="A47" t="s">
        <v>149</v>
      </c>
      <c r="C47" s="7">
        <v>0</v>
      </c>
      <c r="D47" s="6">
        <v>26167</v>
      </c>
      <c r="E47" s="6">
        <v>27167</v>
      </c>
    </row>
    <row r="48" spans="1:5" x14ac:dyDescent="0.2">
      <c r="A48" t="s">
        <v>65</v>
      </c>
      <c r="C48" s="7">
        <v>0</v>
      </c>
      <c r="D48" s="7">
        <v>42</v>
      </c>
      <c r="E48" s="7">
        <v>42</v>
      </c>
    </row>
    <row r="49" spans="1:5" x14ac:dyDescent="0.2">
      <c r="C49" s="14">
        <v>0</v>
      </c>
      <c r="D49" s="11">
        <v>27209</v>
      </c>
      <c r="E49" s="11">
        <v>27209</v>
      </c>
    </row>
    <row r="50" spans="1:5" x14ac:dyDescent="0.2">
      <c r="C50" s="7"/>
      <c r="D50" s="7"/>
      <c r="E50" s="7"/>
    </row>
    <row r="51" spans="1:5" x14ac:dyDescent="0.2">
      <c r="A51" s="12" t="s">
        <v>141</v>
      </c>
      <c r="C51" s="7"/>
      <c r="D51" s="7"/>
      <c r="E51" s="7"/>
    </row>
    <row r="52" spans="1:5" x14ac:dyDescent="0.2">
      <c r="A52" t="s">
        <v>142</v>
      </c>
      <c r="C52" s="7"/>
      <c r="D52" s="7"/>
      <c r="E52" s="7"/>
    </row>
    <row r="53" spans="1:5" x14ac:dyDescent="0.2">
      <c r="A53" s="8" t="s">
        <v>143</v>
      </c>
      <c r="C53" s="7">
        <v>55.48</v>
      </c>
      <c r="D53" s="7">
        <v>63.39</v>
      </c>
      <c r="E53" s="7">
        <v>64.5</v>
      </c>
    </row>
    <row r="54" spans="1:5" x14ac:dyDescent="0.2">
      <c r="A54" s="8" t="s">
        <v>144</v>
      </c>
      <c r="C54" s="7">
        <v>55.42</v>
      </c>
      <c r="D54" s="7">
        <v>63.29</v>
      </c>
      <c r="E54" s="7">
        <v>64.34</v>
      </c>
    </row>
    <row r="55" spans="1:5" x14ac:dyDescent="0.2">
      <c r="A55" t="s">
        <v>145</v>
      </c>
      <c r="C55" s="7"/>
      <c r="D55" s="7"/>
      <c r="E55" s="7"/>
    </row>
    <row r="56" spans="1:5" x14ac:dyDescent="0.2">
      <c r="A56" s="8" t="s">
        <v>146</v>
      </c>
      <c r="C56" s="6">
        <v>4193813881</v>
      </c>
      <c r="D56" s="6">
        <v>4138568090</v>
      </c>
      <c r="E56" s="6">
        <v>4141611738</v>
      </c>
    </row>
    <row r="57" spans="1:5" x14ac:dyDescent="0.2">
      <c r="A57" s="8" t="s">
        <v>147</v>
      </c>
      <c r="C57" s="6">
        <v>4198234378</v>
      </c>
      <c r="D57" s="6">
        <v>4144680425</v>
      </c>
      <c r="E57" s="6">
        <v>4152051184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5641D-60F7-7B4D-9DC0-A701FB60BE57}">
  <sheetPr>
    <tabColor theme="2" tint="-0.249977111117893"/>
  </sheetPr>
  <dimension ref="A1:J63"/>
  <sheetViews>
    <sheetView zoomScale="125" zoomScaleNormal="70" workbookViewId="0">
      <pane xSplit="1" topLeftCell="B1" activePane="topRight" state="frozen"/>
      <selection pane="topRight" activeCell="I62" sqref="I62"/>
    </sheetView>
  </sheetViews>
  <sheetFormatPr baseColWidth="10" defaultRowHeight="16" x14ac:dyDescent="0.2"/>
  <cols>
    <col min="1" max="1" width="50" customWidth="1"/>
  </cols>
  <sheetData>
    <row r="1" spans="1:10" x14ac:dyDescent="0.2">
      <c r="A1" s="3" t="s">
        <v>0</v>
      </c>
    </row>
    <row r="2" spans="1:10" x14ac:dyDescent="0.2">
      <c r="A2" s="3" t="s">
        <v>130</v>
      </c>
    </row>
    <row r="4" spans="1:10" x14ac:dyDescent="0.2">
      <c r="A4" s="5" t="s">
        <v>2</v>
      </c>
      <c r="B4" s="5"/>
      <c r="C4" s="5" t="s">
        <v>3</v>
      </c>
      <c r="D4" s="5" t="s">
        <v>4</v>
      </c>
      <c r="E4" s="5" t="s">
        <v>5</v>
      </c>
      <c r="F4" s="5" t="s">
        <v>169</v>
      </c>
      <c r="G4" s="5" t="s">
        <v>174</v>
      </c>
      <c r="H4" s="5" t="s">
        <v>171</v>
      </c>
      <c r="I4" s="5" t="s">
        <v>172</v>
      </c>
      <c r="J4" s="5" t="s">
        <v>173</v>
      </c>
    </row>
    <row r="5" spans="1:10" x14ac:dyDescent="0.2">
      <c r="A5" s="12" t="s">
        <v>24</v>
      </c>
    </row>
    <row r="7" spans="1:10" x14ac:dyDescent="0.2">
      <c r="A7" s="3" t="s">
        <v>25</v>
      </c>
      <c r="C7" s="30"/>
      <c r="D7" s="30"/>
      <c r="E7" s="30"/>
      <c r="F7" s="30"/>
      <c r="G7" s="30"/>
      <c r="H7" s="30"/>
      <c r="I7" s="30"/>
      <c r="J7" s="30"/>
    </row>
    <row r="8" spans="1:10" x14ac:dyDescent="0.2">
      <c r="A8" s="8" t="s">
        <v>26</v>
      </c>
      <c r="C8" s="31">
        <f>'PP&amp;E Sch'!C14</f>
        <v>11656</v>
      </c>
      <c r="D8" s="31">
        <f>'PP&amp;E Sch'!D14</f>
        <v>10813</v>
      </c>
      <c r="E8" s="31">
        <f>'PP&amp;E Sch'!E14</f>
        <v>10070</v>
      </c>
      <c r="F8" s="31">
        <f>'PP&amp;E Sch'!F14</f>
        <v>10163.125199999999</v>
      </c>
      <c r="G8" s="31">
        <f>'PP&amp;E Sch'!G14</f>
        <v>10219.626546999996</v>
      </c>
      <c r="H8" s="31">
        <f>'PP&amp;E Sch'!H14</f>
        <v>10331.363640295996</v>
      </c>
      <c r="I8" s="31">
        <f>'PP&amp;E Sch'!I14</f>
        <v>10427.754899698761</v>
      </c>
      <c r="J8" s="31">
        <f>'PP&amp;E Sch'!J14</f>
        <v>10529.558554997053</v>
      </c>
    </row>
    <row r="9" spans="1:10" x14ac:dyDescent="0.2">
      <c r="A9" s="8" t="s">
        <v>27</v>
      </c>
      <c r="C9" s="33">
        <v>3561</v>
      </c>
      <c r="D9" s="33">
        <v>6552</v>
      </c>
      <c r="E9" s="33">
        <v>6311</v>
      </c>
      <c r="F9" s="30">
        <f>E9</f>
        <v>6311</v>
      </c>
      <c r="G9" s="30">
        <f t="shared" ref="G9:J9" si="0">F9</f>
        <v>6311</v>
      </c>
      <c r="H9" s="30">
        <f t="shared" si="0"/>
        <v>6311</v>
      </c>
      <c r="I9" s="30">
        <f t="shared" si="0"/>
        <v>6311</v>
      </c>
      <c r="J9" s="30">
        <f t="shared" si="0"/>
        <v>6311</v>
      </c>
    </row>
    <row r="10" spans="1:10" x14ac:dyDescent="0.2">
      <c r="A10" s="8" t="s">
        <v>28</v>
      </c>
      <c r="C10" s="33">
        <v>275</v>
      </c>
      <c r="D10" s="33">
        <v>293</v>
      </c>
      <c r="E10" s="33">
        <v>814</v>
      </c>
      <c r="F10" s="30">
        <f>'PP&amp;E Sch'!F7*Assumptions!F24</f>
        <v>732.47706000000005</v>
      </c>
      <c r="G10" s="30">
        <f>'PP&amp;E Sch'!G7*Assumptions!G24</f>
        <v>783.75045420000015</v>
      </c>
      <c r="H10" s="30">
        <f>'PP&amp;E Sch'!H7*Assumptions!H24</f>
        <v>866.93996669580008</v>
      </c>
      <c r="I10" s="30">
        <f>'PP&amp;E Sch'!I7*Assumptions!I24</f>
        <v>936.02611369697217</v>
      </c>
      <c r="J10" s="30">
        <f>'PP&amp;E Sch'!J7*Assumptions!J24</f>
        <v>1017.2120521298727</v>
      </c>
    </row>
    <row r="11" spans="1:10" x14ac:dyDescent="0.2">
      <c r="A11" s="8" t="s">
        <v>29</v>
      </c>
      <c r="C11" s="33">
        <v>211</v>
      </c>
      <c r="D11" s="33">
        <v>7303</v>
      </c>
      <c r="E11" s="33">
        <v>10106</v>
      </c>
      <c r="F11" s="30">
        <f>E11</f>
        <v>10106</v>
      </c>
      <c r="G11" s="30">
        <f t="shared" ref="G11:J11" si="1">F11</f>
        <v>10106</v>
      </c>
      <c r="H11" s="30">
        <f t="shared" si="1"/>
        <v>10106</v>
      </c>
      <c r="I11" s="30">
        <f t="shared" si="1"/>
        <v>10106</v>
      </c>
      <c r="J11" s="30">
        <f t="shared" si="1"/>
        <v>10106</v>
      </c>
    </row>
    <row r="12" spans="1:10" x14ac:dyDescent="0.2">
      <c r="A12" s="8" t="s">
        <v>30</v>
      </c>
      <c r="C12" s="33">
        <v>3</v>
      </c>
      <c r="D12" s="33">
        <v>1397</v>
      </c>
      <c r="E12" s="33">
        <v>2766</v>
      </c>
      <c r="F12" s="30">
        <f>E12</f>
        <v>2766</v>
      </c>
      <c r="G12" s="30">
        <f t="shared" ref="G12:J12" si="2">F12</f>
        <v>2766</v>
      </c>
      <c r="H12" s="30">
        <f t="shared" si="2"/>
        <v>2766</v>
      </c>
      <c r="I12" s="30">
        <f t="shared" si="2"/>
        <v>2766</v>
      </c>
      <c r="J12" s="30">
        <f t="shared" si="2"/>
        <v>2766</v>
      </c>
    </row>
    <row r="13" spans="1:10" x14ac:dyDescent="0.2">
      <c r="A13" s="8" t="s">
        <v>31</v>
      </c>
      <c r="C13" s="33"/>
      <c r="D13" s="33"/>
      <c r="E13" s="33"/>
      <c r="F13" s="30"/>
      <c r="G13" s="30"/>
      <c r="H13" s="30"/>
      <c r="I13" s="30"/>
      <c r="J13" s="30"/>
    </row>
    <row r="14" spans="1:10" x14ac:dyDescent="0.2">
      <c r="A14" s="8" t="s">
        <v>32</v>
      </c>
      <c r="C14" s="33">
        <v>23686</v>
      </c>
      <c r="D14" s="33">
        <v>11708</v>
      </c>
      <c r="E14" s="33">
        <v>11059</v>
      </c>
      <c r="F14" s="30">
        <f>E14</f>
        <v>11059</v>
      </c>
      <c r="G14" s="30">
        <f t="shared" ref="G14:J14" si="3">F14</f>
        <v>11059</v>
      </c>
      <c r="H14" s="30">
        <f t="shared" si="3"/>
        <v>11059</v>
      </c>
      <c r="I14" s="30">
        <f t="shared" si="3"/>
        <v>11059</v>
      </c>
      <c r="J14" s="30">
        <f t="shared" si="3"/>
        <v>11059</v>
      </c>
    </row>
    <row r="15" spans="1:10" x14ac:dyDescent="0.2">
      <c r="A15" s="9" t="s">
        <v>33</v>
      </c>
      <c r="C15" s="33">
        <v>39</v>
      </c>
      <c r="D15" s="33">
        <v>34</v>
      </c>
      <c r="E15" s="33">
        <v>16</v>
      </c>
      <c r="F15" s="30">
        <f>E15</f>
        <v>16</v>
      </c>
      <c r="G15" s="30">
        <f t="shared" ref="G15:J15" si="4">F15</f>
        <v>16</v>
      </c>
      <c r="H15" s="30">
        <f t="shared" si="4"/>
        <v>16</v>
      </c>
      <c r="I15" s="30">
        <f t="shared" si="4"/>
        <v>16</v>
      </c>
      <c r="J15" s="30">
        <f t="shared" si="4"/>
        <v>16</v>
      </c>
    </row>
    <row r="16" spans="1:10" x14ac:dyDescent="0.2">
      <c r="A16" s="9" t="s">
        <v>34</v>
      </c>
      <c r="C16" s="33">
        <v>1341</v>
      </c>
      <c r="D16" s="33">
        <v>3105</v>
      </c>
      <c r="E16" s="33">
        <v>3511</v>
      </c>
      <c r="F16" s="30">
        <f t="shared" ref="F16:J20" si="5">E16</f>
        <v>3511</v>
      </c>
      <c r="G16" s="30">
        <f t="shared" si="5"/>
        <v>3511</v>
      </c>
      <c r="H16" s="30">
        <f t="shared" si="5"/>
        <v>3511</v>
      </c>
      <c r="I16" s="30">
        <f t="shared" si="5"/>
        <v>3511</v>
      </c>
      <c r="J16" s="30">
        <f t="shared" si="5"/>
        <v>3511</v>
      </c>
    </row>
    <row r="17" spans="1:10" x14ac:dyDescent="0.2">
      <c r="A17" s="9" t="s">
        <v>35</v>
      </c>
      <c r="C17" s="33">
        <v>779</v>
      </c>
      <c r="D17" s="33">
        <v>454</v>
      </c>
      <c r="E17" s="33">
        <v>1108</v>
      </c>
      <c r="F17" s="30">
        <f t="shared" si="5"/>
        <v>1108</v>
      </c>
      <c r="G17" s="30">
        <f t="shared" si="5"/>
        <v>1108</v>
      </c>
      <c r="H17" s="30">
        <f t="shared" si="5"/>
        <v>1108</v>
      </c>
      <c r="I17" s="30">
        <f t="shared" si="5"/>
        <v>1108</v>
      </c>
      <c r="J17" s="30">
        <f t="shared" si="5"/>
        <v>1108</v>
      </c>
    </row>
    <row r="18" spans="1:10" x14ac:dyDescent="0.2">
      <c r="A18" s="8" t="s">
        <v>36</v>
      </c>
      <c r="C18" s="33">
        <v>5916</v>
      </c>
      <c r="D18" s="33">
        <v>3045</v>
      </c>
      <c r="E18" s="33">
        <v>1622</v>
      </c>
      <c r="F18" s="30">
        <f t="shared" si="5"/>
        <v>1622</v>
      </c>
      <c r="G18" s="30">
        <f t="shared" si="5"/>
        <v>1622</v>
      </c>
      <c r="H18" s="30">
        <f t="shared" si="5"/>
        <v>1622</v>
      </c>
      <c r="I18" s="30">
        <f t="shared" si="5"/>
        <v>1622</v>
      </c>
      <c r="J18" s="30">
        <f t="shared" si="5"/>
        <v>1622</v>
      </c>
    </row>
    <row r="19" spans="1:10" x14ac:dyDescent="0.2">
      <c r="A19" s="8" t="s">
        <v>37</v>
      </c>
      <c r="C19" s="33">
        <v>1788</v>
      </c>
      <c r="D19" s="33">
        <v>2121</v>
      </c>
      <c r="E19" s="33">
        <v>2713</v>
      </c>
      <c r="F19" s="30">
        <f t="shared" si="5"/>
        <v>2713</v>
      </c>
      <c r="G19" s="30">
        <f t="shared" si="5"/>
        <v>2713</v>
      </c>
      <c r="H19" s="30">
        <f t="shared" si="5"/>
        <v>2713</v>
      </c>
      <c r="I19" s="30">
        <f t="shared" si="5"/>
        <v>2713</v>
      </c>
      <c r="J19" s="30">
        <f t="shared" si="5"/>
        <v>2713</v>
      </c>
    </row>
    <row r="20" spans="1:10" x14ac:dyDescent="0.2">
      <c r="A20" s="3" t="s">
        <v>38</v>
      </c>
      <c r="C20" s="34">
        <v>49255</v>
      </c>
      <c r="D20" s="34">
        <v>48382</v>
      </c>
      <c r="E20" s="34">
        <v>51804</v>
      </c>
      <c r="F20" s="36">
        <f>SUM(F8:F19)</f>
        <v>50107.60226</v>
      </c>
      <c r="G20" s="36">
        <f t="shared" si="5"/>
        <v>50107.60226</v>
      </c>
      <c r="H20" s="36">
        <f t="shared" si="5"/>
        <v>50107.60226</v>
      </c>
      <c r="I20" s="36">
        <f t="shared" si="5"/>
        <v>50107.60226</v>
      </c>
      <c r="J20" s="36">
        <f t="shared" si="5"/>
        <v>50107.60226</v>
      </c>
    </row>
    <row r="21" spans="1:10" x14ac:dyDescent="0.2">
      <c r="C21" s="33"/>
      <c r="D21" s="33"/>
      <c r="E21" s="33"/>
      <c r="F21" s="30"/>
      <c r="G21" s="30"/>
      <c r="H21" s="30"/>
      <c r="I21" s="30"/>
      <c r="J21" s="30"/>
    </row>
    <row r="22" spans="1:10" x14ac:dyDescent="0.2">
      <c r="A22" s="3" t="s">
        <v>39</v>
      </c>
      <c r="C22" s="33"/>
      <c r="D22" s="33"/>
      <c r="E22" s="33"/>
      <c r="F22" s="30"/>
      <c r="G22" s="30"/>
      <c r="H22" s="30"/>
      <c r="I22" s="30"/>
      <c r="J22" s="30"/>
    </row>
    <row r="23" spans="1:10" x14ac:dyDescent="0.2">
      <c r="A23" s="8" t="s">
        <v>31</v>
      </c>
      <c r="C23" s="33"/>
      <c r="D23" s="33"/>
      <c r="E23" s="33"/>
      <c r="F23" s="30"/>
      <c r="G23" s="30"/>
      <c r="H23" s="30"/>
      <c r="I23" s="30"/>
      <c r="J23" s="30"/>
    </row>
    <row r="24" spans="1:10" x14ac:dyDescent="0.2">
      <c r="A24" s="9" t="s">
        <v>32</v>
      </c>
      <c r="C24" s="33">
        <v>4476</v>
      </c>
      <c r="D24" s="33">
        <v>12915</v>
      </c>
      <c r="E24" s="33">
        <v>12482</v>
      </c>
      <c r="F24" s="30">
        <f>E24</f>
        <v>12482</v>
      </c>
      <c r="G24" s="30">
        <f t="shared" ref="G24:J24" si="6">F24</f>
        <v>12482</v>
      </c>
      <c r="H24" s="30">
        <f t="shared" si="6"/>
        <v>12482</v>
      </c>
      <c r="I24" s="30">
        <f t="shared" si="6"/>
        <v>12482</v>
      </c>
      <c r="J24" s="30">
        <f t="shared" si="6"/>
        <v>12482</v>
      </c>
    </row>
    <row r="25" spans="1:10" x14ac:dyDescent="0.2">
      <c r="A25" s="9" t="s">
        <v>40</v>
      </c>
      <c r="C25" s="33">
        <v>20773</v>
      </c>
      <c r="D25" s="33">
        <v>30193</v>
      </c>
      <c r="E25" s="33">
        <v>31158</v>
      </c>
      <c r="F25" s="31">
        <f>'WC Sch'!F5</f>
        <v>33446.441095890412</v>
      </c>
      <c r="G25" s="31">
        <f>'WC Sch'!G5</f>
        <v>35276.439230136988</v>
      </c>
      <c r="H25" s="31">
        <f>'WC Sch'!H5</f>
        <v>37675.237097786303</v>
      </c>
      <c r="I25" s="31">
        <f>'WC Sch'!I5</f>
        <v>39542.618414807017</v>
      </c>
      <c r="J25" s="31">
        <f>'WC Sch'!J5</f>
        <v>42112.888611769471</v>
      </c>
    </row>
    <row r="26" spans="1:10" x14ac:dyDescent="0.2">
      <c r="A26" s="9" t="s">
        <v>41</v>
      </c>
      <c r="C26" s="33">
        <v>6534</v>
      </c>
      <c r="D26" s="33">
        <v>14786</v>
      </c>
      <c r="E26" s="33">
        <v>24455</v>
      </c>
      <c r="F26" s="30"/>
      <c r="G26" s="30"/>
      <c r="H26" s="30"/>
      <c r="I26" s="30"/>
      <c r="J26" s="30"/>
    </row>
    <row r="27" spans="1:10" x14ac:dyDescent="0.2">
      <c r="A27" s="9" t="s">
        <v>33</v>
      </c>
      <c r="C27" s="33">
        <v>291</v>
      </c>
      <c r="D27" s="33">
        <v>248</v>
      </c>
      <c r="E27" s="33">
        <v>249</v>
      </c>
      <c r="F27" s="30">
        <f>E27</f>
        <v>249</v>
      </c>
      <c r="G27" s="30">
        <f t="shared" ref="G27:J27" si="7">F27</f>
        <v>249</v>
      </c>
      <c r="H27" s="30">
        <f t="shared" si="7"/>
        <v>249</v>
      </c>
      <c r="I27" s="30">
        <f t="shared" si="7"/>
        <v>249</v>
      </c>
      <c r="J27" s="30">
        <f t="shared" si="7"/>
        <v>249</v>
      </c>
    </row>
    <row r="28" spans="1:10" x14ac:dyDescent="0.2">
      <c r="A28" s="9" t="s">
        <v>34</v>
      </c>
      <c r="C28" s="33">
        <v>9088</v>
      </c>
      <c r="D28" s="33">
        <v>12085</v>
      </c>
      <c r="E28" s="33">
        <v>13840</v>
      </c>
      <c r="F28" s="30">
        <f t="shared" ref="F28:J31" si="8">E28</f>
        <v>13840</v>
      </c>
      <c r="G28" s="30">
        <f t="shared" si="8"/>
        <v>13840</v>
      </c>
      <c r="H28" s="30">
        <f t="shared" si="8"/>
        <v>13840</v>
      </c>
      <c r="I28" s="30">
        <f t="shared" si="8"/>
        <v>13840</v>
      </c>
      <c r="J28" s="30">
        <f t="shared" si="8"/>
        <v>13840</v>
      </c>
    </row>
    <row r="29" spans="1:10" x14ac:dyDescent="0.2">
      <c r="A29" s="8" t="s">
        <v>36</v>
      </c>
      <c r="C29" s="33">
        <f>-C30</f>
        <v>-10920</v>
      </c>
      <c r="D29" s="33">
        <v>6397</v>
      </c>
      <c r="E29" s="33">
        <v>2975</v>
      </c>
      <c r="F29" s="30">
        <f t="shared" si="8"/>
        <v>2975</v>
      </c>
      <c r="G29" s="30">
        <f t="shared" si="8"/>
        <v>2975</v>
      </c>
      <c r="H29" s="30">
        <f t="shared" si="8"/>
        <v>2975</v>
      </c>
      <c r="I29" s="30">
        <f t="shared" si="8"/>
        <v>2975</v>
      </c>
      <c r="J29" s="30">
        <f t="shared" si="8"/>
        <v>2975</v>
      </c>
    </row>
    <row r="30" spans="1:10" x14ac:dyDescent="0.2">
      <c r="A30" s="8" t="s">
        <v>42</v>
      </c>
      <c r="C30" s="33">
        <v>10920</v>
      </c>
      <c r="D30" s="33">
        <v>12808</v>
      </c>
      <c r="E30" s="33">
        <v>11940</v>
      </c>
      <c r="F30" s="30">
        <f t="shared" si="8"/>
        <v>11940</v>
      </c>
      <c r="G30" s="30">
        <f t="shared" si="8"/>
        <v>11940</v>
      </c>
      <c r="H30" s="30">
        <f t="shared" si="8"/>
        <v>11940</v>
      </c>
      <c r="I30" s="30">
        <f t="shared" si="8"/>
        <v>11940</v>
      </c>
      <c r="J30" s="30">
        <f t="shared" si="8"/>
        <v>11940</v>
      </c>
    </row>
    <row r="31" spans="1:10" x14ac:dyDescent="0.2">
      <c r="A31" s="3" t="s">
        <v>43</v>
      </c>
      <c r="C31" s="34">
        <v>52082</v>
      </c>
      <c r="D31" s="34">
        <v>89432</v>
      </c>
      <c r="E31" s="34">
        <v>97099</v>
      </c>
      <c r="F31" s="36">
        <f>SUM(F24:F30)</f>
        <v>74932.441095890419</v>
      </c>
      <c r="G31" s="36">
        <f t="shared" si="8"/>
        <v>74932.441095890419</v>
      </c>
      <c r="H31" s="36">
        <f t="shared" si="8"/>
        <v>74932.441095890419</v>
      </c>
      <c r="I31" s="36">
        <f t="shared" si="8"/>
        <v>74932.441095890419</v>
      </c>
      <c r="J31" s="36">
        <f t="shared" si="8"/>
        <v>74932.441095890419</v>
      </c>
    </row>
    <row r="32" spans="1:10" x14ac:dyDescent="0.2">
      <c r="C32" s="33"/>
      <c r="D32" s="33"/>
      <c r="E32" s="33"/>
      <c r="F32" s="30"/>
      <c r="G32" s="30"/>
      <c r="H32" s="30"/>
      <c r="I32" s="30"/>
      <c r="J32" s="30"/>
    </row>
    <row r="33" spans="1:10" x14ac:dyDescent="0.2">
      <c r="A33" s="3" t="s">
        <v>44</v>
      </c>
      <c r="C33" s="34">
        <v>101337</v>
      </c>
      <c r="D33" s="34">
        <v>137814</v>
      </c>
      <c r="E33" s="34">
        <v>148903</v>
      </c>
      <c r="F33" s="30"/>
      <c r="G33" s="30"/>
      <c r="H33" s="30"/>
      <c r="I33" s="30"/>
      <c r="J33" s="30"/>
    </row>
    <row r="34" spans="1:10" x14ac:dyDescent="0.2">
      <c r="C34" s="33"/>
      <c r="D34" s="33"/>
      <c r="E34" s="33"/>
      <c r="F34" s="30"/>
      <c r="G34" s="30"/>
      <c r="H34" s="30"/>
      <c r="I34" s="30"/>
      <c r="J34" s="30"/>
    </row>
    <row r="35" spans="1:10" x14ac:dyDescent="0.2">
      <c r="A35" s="12" t="s">
        <v>45</v>
      </c>
      <c r="C35" s="33"/>
      <c r="D35" s="33"/>
      <c r="E35" s="33"/>
      <c r="F35" s="30"/>
      <c r="G35" s="30"/>
      <c r="H35" s="30"/>
      <c r="I35" s="30"/>
      <c r="J35" s="30"/>
    </row>
    <row r="36" spans="1:10" x14ac:dyDescent="0.2">
      <c r="C36" s="33"/>
      <c r="D36" s="33"/>
      <c r="E36" s="33"/>
      <c r="F36" s="30"/>
      <c r="G36" s="30"/>
      <c r="H36" s="30"/>
      <c r="I36" s="30"/>
      <c r="J36" s="30"/>
    </row>
    <row r="37" spans="1:10" x14ac:dyDescent="0.2">
      <c r="A37" t="s">
        <v>46</v>
      </c>
      <c r="C37" s="33">
        <v>2074</v>
      </c>
      <c r="D37" s="33">
        <v>2071</v>
      </c>
      <c r="E37" s="33">
        <v>2073</v>
      </c>
      <c r="F37" s="30">
        <f>E37</f>
        <v>2073</v>
      </c>
      <c r="G37" s="30">
        <f t="shared" ref="G37:J37" si="9">F37</f>
        <v>2073</v>
      </c>
      <c r="H37" s="30">
        <f t="shared" si="9"/>
        <v>2073</v>
      </c>
      <c r="I37" s="30">
        <f t="shared" si="9"/>
        <v>2073</v>
      </c>
      <c r="J37" s="30">
        <f t="shared" si="9"/>
        <v>2073</v>
      </c>
    </row>
    <row r="38" spans="1:10" x14ac:dyDescent="0.2">
      <c r="A38" t="s">
        <v>47</v>
      </c>
      <c r="C38" s="33">
        <v>65671</v>
      </c>
      <c r="D38" s="33">
        <v>86045</v>
      </c>
      <c r="E38" s="33">
        <v>93745</v>
      </c>
      <c r="F38" s="30">
        <f>E38+IS!F27-(IS!F27*Assumptions!F22)</f>
        <v>104971.5746488</v>
      </c>
      <c r="G38" s="30">
        <f>F38+IS!G27-(IS!G27*Assumptions!G21)</f>
        <v>139427.17436728001</v>
      </c>
      <c r="H38" s="30">
        <f>G38+IS!H27-(IS!H27*Assumptions!H21)</f>
        <v>176369.24837834563</v>
      </c>
      <c r="I38" s="30">
        <f>H38+IS!I27-(IS!I27*Assumptions!I21)</f>
        <v>215712.55720013048</v>
      </c>
      <c r="J38" s="30">
        <f>I38+IS!J27-(IS!J27*Assumptions!J21)</f>
        <v>257613.18109533135</v>
      </c>
    </row>
    <row r="39" spans="1:10" x14ac:dyDescent="0.2">
      <c r="A39" t="s">
        <v>64</v>
      </c>
      <c r="C39" s="33"/>
      <c r="D39" s="33"/>
      <c r="E39" s="33">
        <f t="shared" ref="D39:J39" si="10">E37+E38</f>
        <v>95818</v>
      </c>
      <c r="F39" s="33">
        <f t="shared" si="10"/>
        <v>107044.5746488</v>
      </c>
      <c r="G39" s="33">
        <f t="shared" si="10"/>
        <v>141500.17436728001</v>
      </c>
      <c r="H39" s="33">
        <f t="shared" si="10"/>
        <v>178442.24837834563</v>
      </c>
      <c r="I39" s="33">
        <f t="shared" si="10"/>
        <v>217785.55720013048</v>
      </c>
      <c r="J39" s="33">
        <f t="shared" si="10"/>
        <v>259686.18109533135</v>
      </c>
    </row>
    <row r="40" spans="1:10" x14ac:dyDescent="0.2">
      <c r="A40" t="s">
        <v>65</v>
      </c>
      <c r="C40" s="33"/>
      <c r="D40" s="33"/>
      <c r="E40" s="33">
        <v>385</v>
      </c>
      <c r="F40" s="33">
        <v>385</v>
      </c>
      <c r="G40" s="33">
        <v>385</v>
      </c>
      <c r="H40" s="33">
        <v>385</v>
      </c>
      <c r="I40" s="33">
        <v>385</v>
      </c>
      <c r="J40" s="33">
        <v>385</v>
      </c>
    </row>
    <row r="41" spans="1:10" x14ac:dyDescent="0.2">
      <c r="A41" s="3" t="s">
        <v>48</v>
      </c>
      <c r="C41" s="34">
        <v>67745</v>
      </c>
      <c r="D41" s="34">
        <v>88461</v>
      </c>
      <c r="E41" s="34">
        <v>96203</v>
      </c>
      <c r="F41" s="30">
        <f>SUM(F39:F40)</f>
        <v>107429.5746488</v>
      </c>
      <c r="G41" s="30">
        <f t="shared" ref="G41:J41" si="11">SUM(G39:G40)</f>
        <v>141885.17436728001</v>
      </c>
      <c r="H41" s="30">
        <f t="shared" si="11"/>
        <v>178827.24837834563</v>
      </c>
      <c r="I41" s="30">
        <f t="shared" si="11"/>
        <v>218170.55720013048</v>
      </c>
      <c r="J41" s="30">
        <f t="shared" si="11"/>
        <v>260071.18109533135</v>
      </c>
    </row>
    <row r="42" spans="1:10" x14ac:dyDescent="0.2">
      <c r="C42" s="33"/>
      <c r="D42" s="33"/>
      <c r="E42" s="33"/>
      <c r="F42" s="30"/>
      <c r="G42" s="30"/>
      <c r="H42" s="30"/>
      <c r="I42" s="30"/>
      <c r="J42" s="30"/>
    </row>
    <row r="43" spans="1:10" x14ac:dyDescent="0.2">
      <c r="A43" s="12" t="s">
        <v>49</v>
      </c>
      <c r="C43" s="33"/>
      <c r="D43" s="33"/>
      <c r="E43" s="33"/>
      <c r="F43" s="30"/>
      <c r="G43" s="30"/>
      <c r="H43" s="30"/>
      <c r="I43" s="30"/>
      <c r="J43" s="30"/>
    </row>
    <row r="44" spans="1:10" x14ac:dyDescent="0.2">
      <c r="C44" s="33"/>
      <c r="D44" s="33"/>
      <c r="E44" s="33"/>
      <c r="F44" s="30"/>
      <c r="G44" s="30"/>
      <c r="H44" s="30"/>
      <c r="I44" s="30"/>
      <c r="J44" s="30"/>
    </row>
    <row r="45" spans="1:10" x14ac:dyDescent="0.2">
      <c r="A45" s="3" t="s">
        <v>50</v>
      </c>
      <c r="C45" s="33"/>
      <c r="D45" s="33"/>
      <c r="E45" s="33"/>
      <c r="F45" s="30"/>
      <c r="G45" s="30"/>
      <c r="H45" s="30"/>
      <c r="I45" s="30"/>
      <c r="J45" s="30"/>
    </row>
    <row r="46" spans="1:10" x14ac:dyDescent="0.2">
      <c r="A46" s="8" t="s">
        <v>51</v>
      </c>
      <c r="C46" s="33"/>
      <c r="D46" s="33"/>
      <c r="E46" s="33"/>
      <c r="F46" s="30"/>
      <c r="G46" s="30"/>
      <c r="H46" s="30"/>
      <c r="I46" s="30"/>
      <c r="J46" s="30"/>
    </row>
    <row r="47" spans="1:10" x14ac:dyDescent="0.2">
      <c r="A47" s="9" t="s">
        <v>52</v>
      </c>
      <c r="C47" s="33">
        <v>3553</v>
      </c>
      <c r="D47" s="33">
        <v>6400</v>
      </c>
      <c r="E47" s="33">
        <v>5772</v>
      </c>
      <c r="F47" s="32">
        <v>5772</v>
      </c>
      <c r="G47" s="32">
        <v>5772</v>
      </c>
      <c r="H47" s="32">
        <v>5772</v>
      </c>
      <c r="I47" s="32">
        <v>5772</v>
      </c>
      <c r="J47" s="32">
        <v>5772</v>
      </c>
    </row>
    <row r="48" spans="1:10" x14ac:dyDescent="0.2">
      <c r="A48" s="9" t="s">
        <v>54</v>
      </c>
      <c r="C48" s="33">
        <v>1317</v>
      </c>
      <c r="D48" s="33">
        <v>2130</v>
      </c>
      <c r="E48" s="33">
        <v>2141</v>
      </c>
      <c r="F48" s="32">
        <v>2141</v>
      </c>
      <c r="G48" s="32">
        <v>2141</v>
      </c>
      <c r="H48" s="32">
        <v>2141</v>
      </c>
      <c r="I48" s="32">
        <v>2141</v>
      </c>
      <c r="J48" s="32">
        <v>2141</v>
      </c>
    </row>
    <row r="49" spans="1:10" x14ac:dyDescent="0.2">
      <c r="A49" s="8" t="s">
        <v>60</v>
      </c>
      <c r="C49" s="33">
        <v>866</v>
      </c>
      <c r="D49" s="33">
        <v>1794</v>
      </c>
      <c r="E49" s="33">
        <v>1722</v>
      </c>
      <c r="F49" s="32">
        <v>1722</v>
      </c>
      <c r="G49" s="32">
        <v>1722</v>
      </c>
      <c r="H49" s="32">
        <v>1722</v>
      </c>
      <c r="I49" s="32">
        <v>1722</v>
      </c>
      <c r="J49" s="32">
        <v>1722</v>
      </c>
    </row>
    <row r="50" spans="1:10" x14ac:dyDescent="0.2">
      <c r="A50" s="8" t="s">
        <v>61</v>
      </c>
      <c r="C50" s="33">
        <v>414</v>
      </c>
      <c r="D50" s="33">
        <v>235</v>
      </c>
      <c r="E50" s="33">
        <v>215</v>
      </c>
      <c r="F50" s="32">
        <v>215</v>
      </c>
      <c r="G50" s="32">
        <v>215</v>
      </c>
      <c r="H50" s="32">
        <v>215</v>
      </c>
      <c r="I50" s="32">
        <v>215</v>
      </c>
      <c r="J50" s="32">
        <v>215</v>
      </c>
    </row>
    <row r="51" spans="1:10" x14ac:dyDescent="0.2">
      <c r="A51" s="3" t="s">
        <v>62</v>
      </c>
      <c r="C51" s="34">
        <v>6150</v>
      </c>
      <c r="D51" s="34">
        <v>10559</v>
      </c>
      <c r="E51" s="34">
        <v>9850</v>
      </c>
      <c r="F51" s="36">
        <f>SUM(F47:F50)</f>
        <v>9850</v>
      </c>
      <c r="G51" s="36">
        <f t="shared" ref="G51:J51" si="12">SUM(G47:G50)</f>
        <v>9850</v>
      </c>
      <c r="H51" s="36">
        <f t="shared" si="12"/>
        <v>9850</v>
      </c>
      <c r="I51" s="36">
        <f t="shared" si="12"/>
        <v>9850</v>
      </c>
      <c r="J51" s="36">
        <f t="shared" si="12"/>
        <v>9850</v>
      </c>
    </row>
    <row r="52" spans="1:10" x14ac:dyDescent="0.2">
      <c r="C52" s="33"/>
      <c r="D52" s="33"/>
      <c r="E52" s="33"/>
      <c r="F52" s="30"/>
      <c r="G52" s="30"/>
      <c r="H52" s="30"/>
      <c r="I52" s="30"/>
      <c r="J52" s="30"/>
    </row>
    <row r="53" spans="1:10" x14ac:dyDescent="0.2">
      <c r="A53" s="3" t="s">
        <v>63</v>
      </c>
      <c r="C53" s="33"/>
      <c r="D53" s="33"/>
      <c r="E53" s="33"/>
      <c r="F53" s="30"/>
      <c r="G53" s="30"/>
      <c r="H53" s="30"/>
      <c r="I53" s="30"/>
      <c r="J53" s="30"/>
    </row>
    <row r="54" spans="1:10" x14ac:dyDescent="0.2">
      <c r="A54" s="8" t="s">
        <v>51</v>
      </c>
      <c r="C54" s="33"/>
      <c r="D54" s="33"/>
      <c r="E54" s="33"/>
      <c r="F54" s="30"/>
      <c r="G54" s="30"/>
      <c r="H54" s="30"/>
      <c r="I54" s="30"/>
      <c r="J54" s="30"/>
    </row>
    <row r="55" spans="1:10" x14ac:dyDescent="0.2">
      <c r="A55" s="9" t="s">
        <v>52</v>
      </c>
      <c r="C55" s="33">
        <v>713</v>
      </c>
      <c r="D55" s="33">
        <v>1959</v>
      </c>
      <c r="E55" s="33">
        <v>2455</v>
      </c>
      <c r="F55" s="37">
        <v>2455</v>
      </c>
      <c r="G55" s="37">
        <v>2455</v>
      </c>
      <c r="H55" s="37">
        <v>2455</v>
      </c>
      <c r="I55" s="37">
        <v>2455</v>
      </c>
      <c r="J55" s="37">
        <v>2455</v>
      </c>
    </row>
    <row r="56" spans="1:10" x14ac:dyDescent="0.2">
      <c r="A56" s="9" t="s">
        <v>53</v>
      </c>
      <c r="C56" s="33">
        <v>2426</v>
      </c>
      <c r="D56" s="33">
        <v>3956</v>
      </c>
      <c r="E56" s="33">
        <v>4164</v>
      </c>
      <c r="F56" s="31">
        <f>'WC Sch'!F6</f>
        <v>4537.3393972602744</v>
      </c>
      <c r="G56" s="31">
        <f>'WC Sch'!G6</f>
        <v>4854.9531550684942</v>
      </c>
      <c r="H56" s="31">
        <f>'WC Sch'!H6</f>
        <v>4752.999138812057</v>
      </c>
      <c r="I56" s="31">
        <f>'WC Sch'!I6</f>
        <v>5061.9440828348388</v>
      </c>
      <c r="J56" s="31">
        <f>'WC Sch'!J6</f>
        <v>5390.9704482191028</v>
      </c>
    </row>
    <row r="57" spans="1:10" x14ac:dyDescent="0.2">
      <c r="A57" s="9" t="s">
        <v>54</v>
      </c>
      <c r="C57" s="33">
        <v>12697</v>
      </c>
      <c r="D57" s="33">
        <v>16969</v>
      </c>
      <c r="E57" s="33">
        <v>18138</v>
      </c>
      <c r="F57" s="37">
        <v>18138</v>
      </c>
      <c r="G57" s="37">
        <v>18138</v>
      </c>
      <c r="H57" s="37">
        <v>18138</v>
      </c>
      <c r="I57" s="37">
        <v>18138</v>
      </c>
      <c r="J57" s="37">
        <v>18138</v>
      </c>
    </row>
    <row r="58" spans="1:10" x14ac:dyDescent="0.2">
      <c r="A58" s="8" t="s">
        <v>55</v>
      </c>
      <c r="C58" s="33">
        <v>7609</v>
      </c>
      <c r="D58" s="33">
        <v>10539</v>
      </c>
      <c r="E58" s="33">
        <v>11765</v>
      </c>
      <c r="F58" s="37">
        <v>11765</v>
      </c>
      <c r="G58" s="37">
        <v>11765</v>
      </c>
      <c r="H58" s="37">
        <v>11765</v>
      </c>
      <c r="I58" s="37">
        <v>11765</v>
      </c>
      <c r="J58" s="37">
        <v>11765</v>
      </c>
    </row>
    <row r="59" spans="1:10" x14ac:dyDescent="0.2">
      <c r="A59" s="8" t="s">
        <v>56</v>
      </c>
      <c r="C59" s="33">
        <v>1163</v>
      </c>
      <c r="D59" s="33">
        <v>1796</v>
      </c>
      <c r="E59" s="33">
        <v>1475</v>
      </c>
      <c r="F59" s="37">
        <f>IS!F5*Assumptions!F26</f>
        <v>1743.9930000000002</v>
      </c>
      <c r="G59" s="37">
        <f>IS!G5*Assumptions!G26</f>
        <v>1866.0725100000002</v>
      </c>
      <c r="H59" s="37">
        <f>IS!H5*Assumptions!H26</f>
        <v>1992.9654406800003</v>
      </c>
      <c r="I59" s="37">
        <f>IS!I5*Assumptions!I26</f>
        <v>2122.5081943242003</v>
      </c>
      <c r="J59" s="37">
        <f>IS!J5*Assumptions!J26</f>
        <v>2260.4712269552729</v>
      </c>
    </row>
    <row r="60" spans="1:10" x14ac:dyDescent="0.2">
      <c r="A60" s="8" t="s">
        <v>57</v>
      </c>
      <c r="C60" s="33">
        <v>2834</v>
      </c>
      <c r="D60" s="33">
        <v>3585</v>
      </c>
      <c r="E60" s="33">
        <v>4853</v>
      </c>
      <c r="F60" s="37">
        <v>4853</v>
      </c>
      <c r="G60" s="37">
        <v>4853</v>
      </c>
      <c r="H60" s="37">
        <v>4853</v>
      </c>
      <c r="I60" s="37">
        <v>4853</v>
      </c>
      <c r="J60" s="37">
        <v>4853</v>
      </c>
    </row>
    <row r="61" spans="1:10" x14ac:dyDescent="0.2">
      <c r="A61" s="3" t="s">
        <v>58</v>
      </c>
      <c r="C61" s="34">
        <v>27442</v>
      </c>
      <c r="D61" s="34">
        <v>38794</v>
      </c>
      <c r="E61" s="34">
        <v>42850</v>
      </c>
      <c r="F61" s="36">
        <f>SUM(F55:F60)</f>
        <v>43492.332397260281</v>
      </c>
      <c r="G61" s="36">
        <f t="shared" ref="G61:J61" si="13">SUM(G55:G60)</f>
        <v>43932.02566506849</v>
      </c>
      <c r="H61" s="36">
        <f t="shared" si="13"/>
        <v>43956.964579492058</v>
      </c>
      <c r="I61" s="36">
        <f t="shared" si="13"/>
        <v>44395.452277159042</v>
      </c>
      <c r="J61" s="36">
        <f t="shared" si="13"/>
        <v>44862.44167517437</v>
      </c>
    </row>
    <row r="62" spans="1:10" x14ac:dyDescent="0.2">
      <c r="C62" s="33"/>
      <c r="D62" s="33"/>
      <c r="E62" s="33"/>
      <c r="F62" s="30"/>
      <c r="G62" s="30"/>
      <c r="H62" s="30"/>
      <c r="I62" s="30"/>
      <c r="J62" s="30"/>
    </row>
    <row r="63" spans="1:10" x14ac:dyDescent="0.2">
      <c r="A63" s="3" t="s">
        <v>59</v>
      </c>
      <c r="C63" s="34">
        <f t="shared" ref="C63:E63" si="14">C41+C51+C61</f>
        <v>101337</v>
      </c>
      <c r="D63" s="34">
        <f t="shared" si="14"/>
        <v>137814</v>
      </c>
      <c r="E63" s="34">
        <f t="shared" si="14"/>
        <v>148903</v>
      </c>
      <c r="F63" s="36">
        <f>F41+F51+F61</f>
        <v>160771.90704606028</v>
      </c>
      <c r="G63" s="36">
        <f t="shared" ref="G63:J63" si="15">G41+G51+G61</f>
        <v>195667.20003234851</v>
      </c>
      <c r="H63" s="36">
        <f t="shared" si="15"/>
        <v>232634.21295783768</v>
      </c>
      <c r="I63" s="36">
        <f t="shared" si="15"/>
        <v>272416.00947728951</v>
      </c>
      <c r="J63" s="36">
        <f t="shared" si="15"/>
        <v>314783.62277050572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9EFF-05D3-B246-BF53-05253913805E}">
  <sheetPr>
    <tabColor theme="2" tint="-0.249977111117893"/>
  </sheetPr>
  <dimension ref="A1:E81"/>
  <sheetViews>
    <sheetView zoomScaleNormal="55" workbookViewId="0">
      <pane xSplit="1" topLeftCell="B1" activePane="topRight" state="frozen"/>
      <selection pane="topRight" activeCell="C32" sqref="C32"/>
    </sheetView>
  </sheetViews>
  <sheetFormatPr baseColWidth="10" defaultRowHeight="16" x14ac:dyDescent="0.2"/>
  <cols>
    <col min="1" max="1" width="64.6640625" customWidth="1"/>
  </cols>
  <sheetData>
    <row r="1" spans="1:5" x14ac:dyDescent="0.2">
      <c r="A1" s="3" t="s">
        <v>0</v>
      </c>
    </row>
    <row r="2" spans="1:5" x14ac:dyDescent="0.2">
      <c r="A2" s="3" t="s">
        <v>129</v>
      </c>
    </row>
    <row r="4" spans="1:5" x14ac:dyDescent="0.2">
      <c r="A4" s="5" t="s">
        <v>2</v>
      </c>
      <c r="B4" s="5"/>
      <c r="C4" s="5" t="s">
        <v>3</v>
      </c>
      <c r="D4" s="5" t="s">
        <v>4</v>
      </c>
      <c r="E4" s="5" t="s">
        <v>5</v>
      </c>
    </row>
    <row r="5" spans="1:5" x14ac:dyDescent="0.2">
      <c r="A5" s="12" t="s">
        <v>66</v>
      </c>
    </row>
    <row r="7" spans="1:5" x14ac:dyDescent="0.2">
      <c r="A7" t="s">
        <v>20</v>
      </c>
      <c r="C7" s="6">
        <v>23268</v>
      </c>
      <c r="D7" s="6">
        <v>26248</v>
      </c>
      <c r="E7" s="6">
        <v>26750</v>
      </c>
    </row>
    <row r="8" spans="1:5" x14ac:dyDescent="0.2">
      <c r="A8" s="3" t="s">
        <v>67</v>
      </c>
      <c r="C8" s="7"/>
      <c r="D8" s="7"/>
      <c r="E8" s="7"/>
    </row>
    <row r="9" spans="1:5" x14ac:dyDescent="0.2">
      <c r="A9" t="s">
        <v>68</v>
      </c>
      <c r="C9" s="6">
        <v>2753</v>
      </c>
      <c r="D9" s="6">
        <v>4678</v>
      </c>
      <c r="E9" s="6">
        <v>4812</v>
      </c>
    </row>
    <row r="10" spans="1:5" x14ac:dyDescent="0.2">
      <c r="A10" t="s">
        <v>125</v>
      </c>
      <c r="C10" s="6">
        <v>8375</v>
      </c>
      <c r="D10" s="6">
        <v>9740</v>
      </c>
      <c r="E10" s="6">
        <v>10858</v>
      </c>
    </row>
    <row r="11" spans="1:5" x14ac:dyDescent="0.2">
      <c r="A11" t="s">
        <v>126</v>
      </c>
      <c r="C11" s="6">
        <v>183</v>
      </c>
      <c r="D11" s="6">
        <v>121</v>
      </c>
      <c r="E11" s="6">
        <v>48</v>
      </c>
    </row>
    <row r="12" spans="1:5" x14ac:dyDescent="0.2">
      <c r="A12" t="s">
        <v>14</v>
      </c>
      <c r="C12" s="6">
        <v>157</v>
      </c>
      <c r="D12" s="6">
        <v>470</v>
      </c>
      <c r="E12" s="6">
        <v>416</v>
      </c>
    </row>
    <row r="13" spans="1:5" x14ac:dyDescent="0.2">
      <c r="A13" t="s">
        <v>69</v>
      </c>
      <c r="C13" s="6">
        <v>-3028</v>
      </c>
      <c r="D13" s="6">
        <v>-2067</v>
      </c>
      <c r="E13" s="6">
        <v>-2570</v>
      </c>
    </row>
    <row r="14" spans="1:5" x14ac:dyDescent="0.2">
      <c r="A14" t="s">
        <v>70</v>
      </c>
      <c r="C14" s="6">
        <v>460</v>
      </c>
      <c r="D14" s="6">
        <v>652</v>
      </c>
      <c r="E14" s="6">
        <v>802</v>
      </c>
    </row>
    <row r="15" spans="1:5" x14ac:dyDescent="0.2">
      <c r="A15" t="s">
        <v>71</v>
      </c>
      <c r="C15" s="6">
        <v>121</v>
      </c>
      <c r="D15" s="6">
        <v>75</v>
      </c>
      <c r="E15" s="6">
        <v>-110</v>
      </c>
    </row>
    <row r="16" spans="1:5" x14ac:dyDescent="0.2">
      <c r="A16" t="s">
        <v>72</v>
      </c>
      <c r="C16" s="6">
        <v>-116</v>
      </c>
      <c r="D16" s="6">
        <v>76</v>
      </c>
      <c r="E16" s="6">
        <v>79</v>
      </c>
    </row>
    <row r="17" spans="1:5" x14ac:dyDescent="0.2">
      <c r="A17" t="s">
        <v>73</v>
      </c>
      <c r="C17" s="6">
        <v>0</v>
      </c>
      <c r="D17" s="6">
        <v>-1934</v>
      </c>
      <c r="E17" s="6">
        <v>-327</v>
      </c>
    </row>
    <row r="18" spans="1:5" x14ac:dyDescent="0.2">
      <c r="A18" t="s">
        <v>74</v>
      </c>
      <c r="C18" s="6">
        <v>34</v>
      </c>
      <c r="D18" s="6">
        <v>1464</v>
      </c>
      <c r="E18" s="6">
        <v>833</v>
      </c>
    </row>
    <row r="19" spans="1:5" x14ac:dyDescent="0.2">
      <c r="C19" s="7"/>
      <c r="D19" s="7"/>
      <c r="E19" s="7"/>
    </row>
    <row r="20" spans="1:5" x14ac:dyDescent="0.2">
      <c r="A20" s="3" t="s">
        <v>75</v>
      </c>
      <c r="C20" s="7"/>
      <c r="D20" s="7"/>
      <c r="E20" s="7"/>
    </row>
    <row r="21" spans="1:5" x14ac:dyDescent="0.2">
      <c r="A21" t="s">
        <v>76</v>
      </c>
      <c r="C21" s="6">
        <v>-5065</v>
      </c>
      <c r="D21" s="6">
        <v>-2667</v>
      </c>
      <c r="E21" s="6">
        <v>-1769</v>
      </c>
    </row>
    <row r="22" spans="1:5" x14ac:dyDescent="0.2">
      <c r="A22" t="s">
        <v>77</v>
      </c>
      <c r="C22" s="6">
        <v>-2171</v>
      </c>
      <c r="D22" s="6">
        <v>-1172</v>
      </c>
      <c r="E22" s="6">
        <v>-1024</v>
      </c>
    </row>
    <row r="23" spans="1:5" x14ac:dyDescent="0.2">
      <c r="A23" t="s">
        <v>53</v>
      </c>
      <c r="C23" s="6">
        <v>-243</v>
      </c>
      <c r="D23" s="6">
        <v>91</v>
      </c>
      <c r="E23" s="6">
        <v>176</v>
      </c>
    </row>
    <row r="24" spans="1:5" x14ac:dyDescent="0.2">
      <c r="A24" t="s">
        <v>78</v>
      </c>
      <c r="C24" s="6">
        <v>2248</v>
      </c>
      <c r="D24" s="6">
        <v>-1334</v>
      </c>
      <c r="E24" s="6">
        <v>2322</v>
      </c>
    </row>
    <row r="25" spans="1:5" x14ac:dyDescent="0.2">
      <c r="C25" s="7"/>
      <c r="D25" s="7"/>
      <c r="E25" s="7"/>
    </row>
    <row r="26" spans="1:5" x14ac:dyDescent="0.2">
      <c r="A26" s="3" t="s">
        <v>79</v>
      </c>
      <c r="C26" s="11">
        <v>26976</v>
      </c>
      <c r="D26" s="11">
        <v>34441</v>
      </c>
      <c r="E26" s="11">
        <v>41296</v>
      </c>
    </row>
    <row r="27" spans="1:5" x14ac:dyDescent="0.2">
      <c r="A27" t="s">
        <v>80</v>
      </c>
      <c r="C27" s="6">
        <v>-7807</v>
      </c>
      <c r="D27" s="6">
        <v>-9231</v>
      </c>
      <c r="E27" s="6">
        <v>-5602</v>
      </c>
    </row>
    <row r="28" spans="1:5" x14ac:dyDescent="0.2">
      <c r="A28" s="3" t="s">
        <v>81</v>
      </c>
      <c r="C28" s="11">
        <v>19169</v>
      </c>
      <c r="D28" s="11">
        <v>25210</v>
      </c>
      <c r="E28" s="11">
        <v>35694</v>
      </c>
    </row>
    <row r="30" spans="1:5" x14ac:dyDescent="0.2">
      <c r="A30" s="12" t="s">
        <v>82</v>
      </c>
    </row>
    <row r="32" spans="1:5" x14ac:dyDescent="0.2">
      <c r="A32" t="s">
        <v>83</v>
      </c>
      <c r="C32" s="6">
        <v>-2130</v>
      </c>
      <c r="D32" s="6">
        <v>-2201</v>
      </c>
      <c r="E32" s="6">
        <v>-2237</v>
      </c>
    </row>
    <row r="33" spans="1:5" x14ac:dyDescent="0.2">
      <c r="A33" t="s">
        <v>84</v>
      </c>
      <c r="C33" s="7">
        <v>-634</v>
      </c>
      <c r="D33" s="7">
        <v>-847</v>
      </c>
      <c r="E33" s="6">
        <v>-1225</v>
      </c>
    </row>
    <row r="34" spans="1:5" x14ac:dyDescent="0.2">
      <c r="A34" t="s">
        <v>85</v>
      </c>
      <c r="C34" s="7">
        <v>482</v>
      </c>
      <c r="D34" s="7">
        <v>710</v>
      </c>
      <c r="E34" s="7">
        <v>776</v>
      </c>
    </row>
    <row r="35" spans="1:5" x14ac:dyDescent="0.2">
      <c r="A35" t="s">
        <v>87</v>
      </c>
      <c r="C35" s="6">
        <v>1299</v>
      </c>
      <c r="D35" s="6">
        <v>1768</v>
      </c>
      <c r="E35" s="6">
        <v>2040</v>
      </c>
    </row>
    <row r="36" spans="1:5" x14ac:dyDescent="0.2">
      <c r="A36" t="s">
        <v>88</v>
      </c>
      <c r="C36" s="6">
        <v>1463</v>
      </c>
      <c r="D36" s="7">
        <v>0</v>
      </c>
      <c r="E36" s="7">
        <v>0</v>
      </c>
    </row>
    <row r="37" spans="1:5" x14ac:dyDescent="0.2">
      <c r="A37" t="s">
        <v>89</v>
      </c>
      <c r="C37" s="6">
        <v>-427</v>
      </c>
      <c r="D37" s="7">
        <v>0</v>
      </c>
      <c r="E37" s="7">
        <v>0</v>
      </c>
    </row>
    <row r="38" spans="1:5" x14ac:dyDescent="0.2">
      <c r="A38" t="s">
        <v>90</v>
      </c>
      <c r="C38" s="6">
        <v>393</v>
      </c>
      <c r="D38" s="7">
        <v>0</v>
      </c>
      <c r="E38" s="7">
        <v>0</v>
      </c>
    </row>
    <row r="39" spans="1:5" x14ac:dyDescent="0.2">
      <c r="A39" t="s">
        <v>91</v>
      </c>
      <c r="C39" s="6">
        <v>-1530</v>
      </c>
      <c r="D39" s="7">
        <v>0</v>
      </c>
      <c r="E39" s="7">
        <v>0</v>
      </c>
    </row>
    <row r="40" spans="1:5" x14ac:dyDescent="0.2">
      <c r="A40" t="s">
        <v>92</v>
      </c>
      <c r="C40" s="6">
        <v>19</v>
      </c>
      <c r="D40" s="7">
        <v>0</v>
      </c>
      <c r="E40" s="7">
        <v>0</v>
      </c>
    </row>
    <row r="41" spans="1:5" x14ac:dyDescent="0.2">
      <c r="A41" t="s">
        <v>93</v>
      </c>
      <c r="C41" s="7">
        <v>0</v>
      </c>
      <c r="D41" s="7">
        <v>0</v>
      </c>
      <c r="E41" s="7">
        <v>0</v>
      </c>
    </row>
    <row r="42" spans="1:5" x14ac:dyDescent="0.2">
      <c r="A42" t="s">
        <v>94</v>
      </c>
      <c r="C42" s="6">
        <v>-483</v>
      </c>
      <c r="D42" s="7">
        <v>0</v>
      </c>
      <c r="E42" s="7">
        <v>0</v>
      </c>
    </row>
    <row r="43" spans="1:5" x14ac:dyDescent="0.2">
      <c r="A43" t="s">
        <v>127</v>
      </c>
      <c r="C43" s="6">
        <v>0</v>
      </c>
      <c r="D43" s="7">
        <v>0</v>
      </c>
      <c r="E43" s="6">
        <v>-3155</v>
      </c>
    </row>
    <row r="44" spans="1:5" x14ac:dyDescent="0.2">
      <c r="A44" t="s">
        <v>128</v>
      </c>
      <c r="C44" s="6">
        <v>0</v>
      </c>
      <c r="D44" s="7">
        <v>-101</v>
      </c>
      <c r="E44" s="6">
        <v>0</v>
      </c>
    </row>
    <row r="45" spans="1:5" x14ac:dyDescent="0.2">
      <c r="A45" t="s">
        <v>95</v>
      </c>
      <c r="C45" s="6">
        <v>483</v>
      </c>
      <c r="D45" s="7">
        <v>0</v>
      </c>
      <c r="E45" s="7">
        <v>0</v>
      </c>
    </row>
    <row r="46" spans="1:5" x14ac:dyDescent="0.2">
      <c r="A46" t="s">
        <v>86</v>
      </c>
      <c r="C46" s="6">
        <v>61</v>
      </c>
      <c r="D46" s="7">
        <v>128</v>
      </c>
      <c r="E46" s="7">
        <v>10</v>
      </c>
    </row>
    <row r="47" spans="1:5" x14ac:dyDescent="0.2">
      <c r="A47" t="s">
        <v>96</v>
      </c>
      <c r="C47" s="7"/>
      <c r="D47" s="7"/>
      <c r="E47" s="7"/>
    </row>
    <row r="48" spans="1:5" x14ac:dyDescent="0.2">
      <c r="A48" s="8" t="s">
        <v>99</v>
      </c>
      <c r="C48" s="6">
        <v>-62952</v>
      </c>
      <c r="D48" s="6">
        <v>-66191</v>
      </c>
      <c r="E48" s="6">
        <v>-73048</v>
      </c>
    </row>
    <row r="49" spans="1:5" x14ac:dyDescent="0.2">
      <c r="A49" s="8" t="s">
        <v>100</v>
      </c>
      <c r="C49" s="6">
        <v>-400</v>
      </c>
      <c r="D49" s="7">
        <v>0</v>
      </c>
      <c r="E49" s="7">
        <v>0</v>
      </c>
    </row>
    <row r="50" spans="1:5" x14ac:dyDescent="0.2">
      <c r="A50" s="8" t="s">
        <v>101</v>
      </c>
      <c r="C50" s="6">
        <v>-14</v>
      </c>
      <c r="D50" s="7">
        <v>0</v>
      </c>
      <c r="E50" s="7">
        <v>-2</v>
      </c>
    </row>
    <row r="51" spans="1:5" x14ac:dyDescent="0.2">
      <c r="A51" s="8" t="s">
        <v>102</v>
      </c>
      <c r="C51" s="6">
        <v>-2485</v>
      </c>
      <c r="D51" s="6">
        <v>-10387</v>
      </c>
      <c r="E51" s="6">
        <v>-6403</v>
      </c>
    </row>
    <row r="52" spans="1:5" x14ac:dyDescent="0.2">
      <c r="A52" s="8" t="s">
        <v>103</v>
      </c>
      <c r="C52" s="6">
        <v>-8909</v>
      </c>
      <c r="D52" s="6">
        <v>-8509</v>
      </c>
      <c r="E52" s="6">
        <v>-6978</v>
      </c>
    </row>
    <row r="53" spans="1:5" x14ac:dyDescent="0.2">
      <c r="A53" s="8" t="s">
        <v>104</v>
      </c>
      <c r="C53" s="6">
        <v>-1370</v>
      </c>
      <c r="D53" s="7">
        <v>0</v>
      </c>
      <c r="E53" s="7">
        <v>0</v>
      </c>
    </row>
    <row r="54" spans="1:5" x14ac:dyDescent="0.2">
      <c r="A54" s="8" t="s">
        <v>105</v>
      </c>
      <c r="C54" s="7">
        <v>0</v>
      </c>
      <c r="D54" s="6">
        <v>-1526</v>
      </c>
      <c r="E54" s="6">
        <v>-3240</v>
      </c>
    </row>
    <row r="55" spans="1:5" x14ac:dyDescent="0.2">
      <c r="A55" s="8" t="s">
        <v>106</v>
      </c>
      <c r="C55" s="6">
        <v>-4</v>
      </c>
      <c r="D55" s="7">
        <v>-14</v>
      </c>
      <c r="E55" s="6">
        <v>-60</v>
      </c>
    </row>
    <row r="56" spans="1:5" x14ac:dyDescent="0.2">
      <c r="A56" t="s">
        <v>97</v>
      </c>
      <c r="C56" s="7"/>
      <c r="D56" s="7"/>
      <c r="E56" s="7"/>
    </row>
    <row r="57" spans="1:5" x14ac:dyDescent="0.2">
      <c r="A57" s="8" t="s">
        <v>107</v>
      </c>
      <c r="C57" s="6">
        <v>213</v>
      </c>
      <c r="D57" s="7">
        <v>150</v>
      </c>
      <c r="E57" s="6">
        <v>109</v>
      </c>
    </row>
    <row r="58" spans="1:5" x14ac:dyDescent="0.2">
      <c r="A58" s="8" t="s">
        <v>99</v>
      </c>
      <c r="C58" s="6">
        <v>64168</v>
      </c>
      <c r="D58" s="7">
        <v>64767</v>
      </c>
      <c r="E58" s="6">
        <v>73987</v>
      </c>
    </row>
    <row r="59" spans="1:5" x14ac:dyDescent="0.2">
      <c r="A59" s="8" t="s">
        <v>108</v>
      </c>
      <c r="C59" s="6">
        <v>395</v>
      </c>
      <c r="D59" s="6">
        <v>1230</v>
      </c>
      <c r="E59" s="6">
        <v>2591</v>
      </c>
    </row>
    <row r="60" spans="1:5" x14ac:dyDescent="0.2">
      <c r="A60" s="8" t="s">
        <v>109</v>
      </c>
      <c r="C60" s="6">
        <v>9454</v>
      </c>
      <c r="D60" s="6">
        <v>9205</v>
      </c>
      <c r="E60" s="6">
        <v>6688</v>
      </c>
    </row>
    <row r="61" spans="1:5" x14ac:dyDescent="0.2">
      <c r="A61" s="8" t="s">
        <v>111</v>
      </c>
      <c r="C61" s="6">
        <v>2098</v>
      </c>
      <c r="D61" s="6">
        <v>6479</v>
      </c>
      <c r="E61" s="6">
        <v>7735</v>
      </c>
    </row>
    <row r="62" spans="1:5" x14ac:dyDescent="0.2">
      <c r="A62" s="8" t="s">
        <v>110</v>
      </c>
      <c r="C62" s="6">
        <v>1532</v>
      </c>
      <c r="D62" s="6">
        <v>1230</v>
      </c>
      <c r="E62" s="6">
        <v>455</v>
      </c>
    </row>
    <row r="63" spans="1:5" x14ac:dyDescent="0.2">
      <c r="A63" s="8" t="s">
        <v>106</v>
      </c>
      <c r="C63" s="6">
        <v>99</v>
      </c>
      <c r="D63" s="7">
        <v>0</v>
      </c>
      <c r="E63" s="6">
        <v>11</v>
      </c>
    </row>
    <row r="64" spans="1:5" x14ac:dyDescent="0.2">
      <c r="A64" s="3" t="s">
        <v>98</v>
      </c>
      <c r="C64" s="11">
        <v>821</v>
      </c>
      <c r="D64" s="11">
        <v>-5009</v>
      </c>
      <c r="E64" s="11">
        <v>-1946</v>
      </c>
    </row>
    <row r="65" spans="1:5" x14ac:dyDescent="0.2">
      <c r="C65" s="7"/>
      <c r="D65" s="7"/>
      <c r="E65" s="7"/>
    </row>
    <row r="66" spans="1:5" x14ac:dyDescent="0.2">
      <c r="A66" s="13" t="s">
        <v>112</v>
      </c>
      <c r="C66" s="7"/>
      <c r="D66" s="7"/>
      <c r="E66" s="7"/>
    </row>
    <row r="67" spans="1:5" x14ac:dyDescent="0.2">
      <c r="C67" s="7"/>
      <c r="D67" s="7"/>
      <c r="E67" s="7"/>
    </row>
    <row r="68" spans="1:5" ht="17" x14ac:dyDescent="0.2">
      <c r="A68" s="10" t="s">
        <v>114</v>
      </c>
      <c r="C68" s="7">
        <v>-11499</v>
      </c>
      <c r="D68" s="7">
        <v>18</v>
      </c>
      <c r="E68" s="7">
        <v>0</v>
      </c>
    </row>
    <row r="69" spans="1:5" x14ac:dyDescent="0.2">
      <c r="A69" t="s">
        <v>113</v>
      </c>
      <c r="C69" s="7">
        <v>-694</v>
      </c>
      <c r="D69" s="6">
        <v>-2024</v>
      </c>
      <c r="E69" s="6">
        <v>-2355</v>
      </c>
    </row>
    <row r="70" spans="1:5" x14ac:dyDescent="0.2">
      <c r="A70" t="s">
        <v>115</v>
      </c>
      <c r="C70" s="7">
        <v>30</v>
      </c>
      <c r="D70" s="7">
        <v>5</v>
      </c>
      <c r="E70" s="7">
        <v>6</v>
      </c>
    </row>
    <row r="71" spans="1:5" x14ac:dyDescent="0.2">
      <c r="A71" t="s">
        <v>86</v>
      </c>
      <c r="C71" s="7">
        <v>44</v>
      </c>
      <c r="D71" s="7">
        <v>0</v>
      </c>
      <c r="E71" s="7">
        <v>0</v>
      </c>
    </row>
    <row r="72" spans="1:5" x14ac:dyDescent="0.2">
      <c r="A72" t="s">
        <v>116</v>
      </c>
      <c r="C72" s="7">
        <v>64</v>
      </c>
      <c r="D72" s="7">
        <v>-736</v>
      </c>
      <c r="E72" s="7">
        <v>0</v>
      </c>
    </row>
    <row r="73" spans="1:5" x14ac:dyDescent="0.2">
      <c r="A73" t="s">
        <v>117</v>
      </c>
      <c r="C73" s="6">
        <v>-13674</v>
      </c>
      <c r="D73" s="6">
        <v>-14692</v>
      </c>
      <c r="E73" s="6">
        <v>-20287</v>
      </c>
    </row>
    <row r="74" spans="1:5" x14ac:dyDescent="0.2">
      <c r="A74" s="3" t="s">
        <v>118</v>
      </c>
      <c r="C74" s="11">
        <v>-25857</v>
      </c>
      <c r="D74" s="11">
        <v>-17504</v>
      </c>
      <c r="E74" s="11">
        <v>-24161</v>
      </c>
    </row>
    <row r="75" spans="1:5" x14ac:dyDescent="0.2">
      <c r="C75" s="7"/>
      <c r="D75" s="7"/>
      <c r="E75" s="7"/>
    </row>
    <row r="76" spans="1:5" x14ac:dyDescent="0.2">
      <c r="A76" t="s">
        <v>119</v>
      </c>
      <c r="C76" s="6">
        <v>-5867</v>
      </c>
      <c r="D76" s="6">
        <v>2697</v>
      </c>
      <c r="E76" s="6">
        <v>9587</v>
      </c>
    </row>
    <row r="77" spans="1:5" x14ac:dyDescent="0.2">
      <c r="A77" t="s">
        <v>120</v>
      </c>
      <c r="C77" s="7">
        <v>131</v>
      </c>
      <c r="D77" s="6">
        <v>-84</v>
      </c>
      <c r="E77" s="6">
        <v>82</v>
      </c>
    </row>
    <row r="78" spans="1:5" x14ac:dyDescent="0.2">
      <c r="A78" t="s">
        <v>121</v>
      </c>
      <c r="C78" s="6">
        <v>12270</v>
      </c>
      <c r="D78" s="6">
        <v>12173</v>
      </c>
      <c r="E78" s="6">
        <v>14786</v>
      </c>
    </row>
    <row r="79" spans="1:5" x14ac:dyDescent="0.2">
      <c r="A79" t="s">
        <v>122</v>
      </c>
      <c r="C79" s="6">
        <v>6534</v>
      </c>
      <c r="D79" s="6">
        <v>14786</v>
      </c>
      <c r="E79" s="6">
        <v>24455</v>
      </c>
    </row>
    <row r="80" spans="1:5" x14ac:dyDescent="0.2">
      <c r="A80" s="3" t="s">
        <v>123</v>
      </c>
      <c r="C80" s="7"/>
      <c r="D80" s="7"/>
      <c r="E80" s="7"/>
    </row>
    <row r="81" spans="1:5" x14ac:dyDescent="0.2">
      <c r="A81" t="s">
        <v>124</v>
      </c>
      <c r="C81" s="7">
        <v>46</v>
      </c>
      <c r="D81" s="6">
        <v>348</v>
      </c>
      <c r="E81" s="6">
        <v>424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68197-B81D-A946-87FA-197633624652}">
  <sheetPr>
    <tabColor theme="2" tint="-0.249977111117893"/>
  </sheetPr>
  <dimension ref="A2:E3"/>
  <sheetViews>
    <sheetView workbookViewId="0">
      <selection activeCell="C5" sqref="C5"/>
    </sheetView>
  </sheetViews>
  <sheetFormatPr baseColWidth="10" defaultRowHeight="16" x14ac:dyDescent="0.2"/>
  <sheetData>
    <row r="2" spans="1:5" x14ac:dyDescent="0.2">
      <c r="A2" s="4" t="s">
        <v>131</v>
      </c>
      <c r="B2" s="15"/>
      <c r="C2" s="4" t="s">
        <v>3</v>
      </c>
      <c r="D2" s="4" t="s">
        <v>4</v>
      </c>
      <c r="E2" s="4" t="s">
        <v>5</v>
      </c>
    </row>
    <row r="3" spans="1:5" x14ac:dyDescent="0.2">
      <c r="C3">
        <f>BS!C45-(BS!C70+BS!C80)</f>
        <v>0</v>
      </c>
      <c r="D3">
        <f>BS!D45-(BS!D70+BS!D80)</f>
        <v>0</v>
      </c>
      <c r="E3">
        <f>BS!E45-(BS!E70+BS!E80)</f>
        <v>0</v>
      </c>
    </row>
  </sheetData>
  <conditionalFormatting sqref="C3:E3">
    <cfRule type="cellIs" dxfId="1" priority="1" operator="notEqual">
      <formula>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CD45-A520-A542-A284-F1CD7853A834}">
  <sheetPr>
    <tabColor theme="5" tint="0.39997558519241921"/>
  </sheetPr>
  <dimension ref="A1:J14"/>
  <sheetViews>
    <sheetView zoomScale="134" workbookViewId="0">
      <pane xSplit="1" topLeftCell="B1" activePane="topRight" state="frozen"/>
      <selection activeCell="A3" sqref="A3"/>
      <selection pane="topRight" activeCell="F11" sqref="F11"/>
    </sheetView>
  </sheetViews>
  <sheetFormatPr baseColWidth="10" defaultRowHeight="16" x14ac:dyDescent="0.2"/>
  <cols>
    <col min="1" max="1" width="47.33203125" customWidth="1"/>
  </cols>
  <sheetData>
    <row r="1" spans="1:10" x14ac:dyDescent="0.2">
      <c r="A1" s="3" t="s">
        <v>0</v>
      </c>
    </row>
    <row r="2" spans="1:10" x14ac:dyDescent="0.2">
      <c r="A2" s="3" t="s">
        <v>177</v>
      </c>
    </row>
    <row r="4" spans="1:10" x14ac:dyDescent="0.2">
      <c r="A4" s="5" t="s">
        <v>2</v>
      </c>
      <c r="B4" s="5"/>
      <c r="C4" s="5" t="s">
        <v>3</v>
      </c>
      <c r="D4" s="5" t="s">
        <v>4</v>
      </c>
      <c r="E4" s="5" t="s">
        <v>5</v>
      </c>
      <c r="F4" s="5" t="s">
        <v>169</v>
      </c>
      <c r="G4" s="5" t="s">
        <v>170</v>
      </c>
      <c r="H4" s="5" t="s">
        <v>171</v>
      </c>
      <c r="I4" s="5" t="s">
        <v>172</v>
      </c>
      <c r="J4" s="5" t="s">
        <v>173</v>
      </c>
    </row>
    <row r="5" spans="1:10" x14ac:dyDescent="0.2">
      <c r="A5" t="s">
        <v>178</v>
      </c>
    </row>
    <row r="6" spans="1:10" x14ac:dyDescent="0.2">
      <c r="A6" t="s">
        <v>182</v>
      </c>
      <c r="C6" s="29"/>
      <c r="D6" s="29"/>
      <c r="E6" s="29"/>
      <c r="F6" s="29">
        <f>E8</f>
        <v>27629</v>
      </c>
      <c r="G6" s="29">
        <f t="shared" ref="G6:J6" si="0">F8</f>
        <v>30070.590199999999</v>
      </c>
      <c r="H6" s="29">
        <f t="shared" si="0"/>
        <v>32683.091713999998</v>
      </c>
      <c r="I6" s="29">
        <f t="shared" si="0"/>
        <v>35572.891602985997</v>
      </c>
      <c r="J6" s="29">
        <f t="shared" si="0"/>
        <v>38692.978648642573</v>
      </c>
    </row>
    <row r="7" spans="1:10" x14ac:dyDescent="0.2">
      <c r="A7" t="s">
        <v>183</v>
      </c>
      <c r="C7" s="29"/>
      <c r="D7" s="29"/>
      <c r="E7" s="29"/>
      <c r="F7" s="29">
        <f>-(Assumptions!F16)*IS!F5</f>
        <v>2441.5902000000001</v>
      </c>
      <c r="G7" s="29">
        <f>-(Assumptions!G16)*IS!G5</f>
        <v>2612.5015140000005</v>
      </c>
      <c r="H7" s="29">
        <f>-(Assumptions!H16)*IS!H5</f>
        <v>2889.7998889860005</v>
      </c>
      <c r="I7" s="29">
        <f>-(Assumptions!I16)*IS!I5</f>
        <v>3120.087045656574</v>
      </c>
      <c r="J7" s="29">
        <f>-(Assumptions!J16)*IS!J5</f>
        <v>3390.7068404329093</v>
      </c>
    </row>
    <row r="8" spans="1:10" x14ac:dyDescent="0.2">
      <c r="A8" t="s">
        <v>179</v>
      </c>
      <c r="C8" s="29">
        <v>26709</v>
      </c>
      <c r="D8" s="29">
        <v>27240</v>
      </c>
      <c r="E8" s="29">
        <v>27629</v>
      </c>
      <c r="F8" s="29">
        <f>(F7)+F6</f>
        <v>30070.590199999999</v>
      </c>
      <c r="G8" s="29">
        <f t="shared" ref="G8:J8" si="1">(G7)+G6</f>
        <v>32683.091713999998</v>
      </c>
      <c r="H8" s="29">
        <f t="shared" si="1"/>
        <v>35572.891602985997</v>
      </c>
      <c r="I8" s="29">
        <f t="shared" si="1"/>
        <v>38692.978648642573</v>
      </c>
      <c r="J8" s="29">
        <f t="shared" si="1"/>
        <v>42083.685489075484</v>
      </c>
    </row>
    <row r="9" spans="1:10" x14ac:dyDescent="0.2">
      <c r="C9" s="29"/>
      <c r="D9" s="29"/>
      <c r="E9" s="29"/>
      <c r="F9" s="29"/>
      <c r="G9" s="29"/>
      <c r="H9" s="29"/>
      <c r="I9" s="29"/>
      <c r="J9" s="29"/>
    </row>
    <row r="10" spans="1:10" x14ac:dyDescent="0.2">
      <c r="A10" t="s">
        <v>184</v>
      </c>
      <c r="C10" s="29"/>
      <c r="D10" s="29"/>
      <c r="E10" s="29"/>
      <c r="F10" s="29">
        <f>E12</f>
        <v>17559</v>
      </c>
      <c r="G10" s="29">
        <f t="shared" ref="G10:J10" si="2">F12</f>
        <v>19907.465</v>
      </c>
      <c r="H10" s="29">
        <f t="shared" si="2"/>
        <v>22463.465167000002</v>
      </c>
      <c r="I10" s="29">
        <f t="shared" si="2"/>
        <v>25241.527962690001</v>
      </c>
      <c r="J10" s="29">
        <f t="shared" si="2"/>
        <v>28265.223748943812</v>
      </c>
    </row>
    <row r="11" spans="1:10" x14ac:dyDescent="0.2">
      <c r="A11" t="s">
        <v>185</v>
      </c>
      <c r="C11" s="29"/>
      <c r="D11" s="29"/>
      <c r="E11" s="29"/>
      <c r="F11" s="29">
        <f>F6*Assumptions!F20</f>
        <v>2348.4650000000001</v>
      </c>
      <c r="G11" s="29">
        <f>G6*Assumptions!G20</f>
        <v>2556.0001670000001</v>
      </c>
      <c r="H11" s="29">
        <f>H6*Assumptions!H20</f>
        <v>2778.0627956900003</v>
      </c>
      <c r="I11" s="29">
        <f>I6*Assumptions!I20</f>
        <v>3023.6957862538102</v>
      </c>
      <c r="J11" s="29">
        <f>J6*Assumptions!J20</f>
        <v>3288.903185134619</v>
      </c>
    </row>
    <row r="12" spans="1:10" x14ac:dyDescent="0.2">
      <c r="A12" t="s">
        <v>180</v>
      </c>
      <c r="C12" s="29">
        <v>15053</v>
      </c>
      <c r="D12" s="29">
        <v>16427</v>
      </c>
      <c r="E12" s="29">
        <v>17559</v>
      </c>
      <c r="F12" s="29">
        <f>F10+F11</f>
        <v>19907.465</v>
      </c>
      <c r="G12" s="29">
        <f t="shared" ref="G12:J12" si="3">G10+G11</f>
        <v>22463.465167000002</v>
      </c>
      <c r="H12" s="29">
        <f t="shared" si="3"/>
        <v>25241.527962690001</v>
      </c>
      <c r="I12" s="29">
        <f t="shared" si="3"/>
        <v>28265.223748943812</v>
      </c>
      <c r="J12" s="29">
        <f t="shared" si="3"/>
        <v>31554.126934078431</v>
      </c>
    </row>
    <row r="13" spans="1:10" x14ac:dyDescent="0.2">
      <c r="C13" s="29"/>
      <c r="D13" s="29"/>
      <c r="E13" s="29"/>
      <c r="F13" s="29"/>
      <c r="G13" s="29"/>
      <c r="H13" s="29"/>
      <c r="I13" s="29"/>
      <c r="J13" s="29"/>
    </row>
    <row r="14" spans="1:10" x14ac:dyDescent="0.2">
      <c r="A14" t="s">
        <v>181</v>
      </c>
      <c r="C14" s="29">
        <f t="shared" ref="C14:D14" si="4">C8-C12</f>
        <v>11656</v>
      </c>
      <c r="D14" s="29">
        <f t="shared" si="4"/>
        <v>10813</v>
      </c>
      <c r="E14" s="29">
        <f>E8-E12</f>
        <v>10070</v>
      </c>
      <c r="F14" s="29">
        <f>F8-F12</f>
        <v>10163.125199999999</v>
      </c>
      <c r="G14" s="29">
        <f t="shared" ref="G14:J14" si="5">G8-G12</f>
        <v>10219.626546999996</v>
      </c>
      <c r="H14" s="29">
        <f t="shared" si="5"/>
        <v>10331.363640295996</v>
      </c>
      <c r="I14" s="29">
        <f t="shared" si="5"/>
        <v>10427.754899698761</v>
      </c>
      <c r="J14" s="29">
        <f t="shared" si="5"/>
        <v>10529.558554997053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8F37-A227-084E-9F65-67CF215B7A7C}">
  <sheetPr>
    <tabColor theme="5" tint="0.39997558519241921"/>
  </sheetPr>
  <dimension ref="A1:J7"/>
  <sheetViews>
    <sheetView zoomScale="150" workbookViewId="0">
      <pane xSplit="1" topLeftCell="B1" activePane="topRight" state="frozen"/>
      <selection pane="topRight" activeCell="F5" sqref="F5"/>
    </sheetView>
  </sheetViews>
  <sheetFormatPr baseColWidth="10" defaultRowHeight="16" x14ac:dyDescent="0.2"/>
  <sheetData>
    <row r="1" spans="1:10" x14ac:dyDescent="0.2">
      <c r="A1" s="3" t="s">
        <v>0</v>
      </c>
    </row>
    <row r="2" spans="1:10" x14ac:dyDescent="0.2">
      <c r="A2" s="3" t="s">
        <v>177</v>
      </c>
    </row>
    <row r="4" spans="1:10" x14ac:dyDescent="0.2">
      <c r="A4" s="5" t="s">
        <v>2</v>
      </c>
      <c r="B4" s="5"/>
      <c r="C4" s="5" t="s">
        <v>3</v>
      </c>
      <c r="D4" s="5" t="s">
        <v>4</v>
      </c>
      <c r="E4" s="5" t="s">
        <v>5</v>
      </c>
      <c r="F4" s="5" t="s">
        <v>169</v>
      </c>
      <c r="G4" s="5" t="s">
        <v>174</v>
      </c>
      <c r="H4" s="5" t="s">
        <v>171</v>
      </c>
      <c r="I4" s="5" t="s">
        <v>172</v>
      </c>
      <c r="J4" s="5" t="s">
        <v>173</v>
      </c>
    </row>
    <row r="5" spans="1:10" x14ac:dyDescent="0.2">
      <c r="A5" t="s">
        <v>186</v>
      </c>
      <c r="C5" s="30">
        <f>Assumptions!C11/365*IS!C5</f>
        <v>20773</v>
      </c>
      <c r="D5" s="30">
        <f>Assumptions!D11/365*IS!D5</f>
        <v>30193</v>
      </c>
      <c r="E5" s="30">
        <f>Assumptions!E11/365*IS!E5</f>
        <v>31158</v>
      </c>
      <c r="F5" s="30">
        <f>Assumptions!F11/365*IS!F5</f>
        <v>33446.441095890412</v>
      </c>
      <c r="G5" s="30">
        <f>Assumptions!G11/365*IS!G5</f>
        <v>35276.439230136988</v>
      </c>
      <c r="H5" s="30">
        <f>Assumptions!H11/365*IS!H5</f>
        <v>37675.237097786303</v>
      </c>
      <c r="I5" s="30">
        <f>Assumptions!I11/365*IS!I5</f>
        <v>39542.618414807017</v>
      </c>
      <c r="J5" s="30">
        <f>Assumptions!J11/365*IS!J5</f>
        <v>42112.888611769471</v>
      </c>
    </row>
    <row r="6" spans="1:10" x14ac:dyDescent="0.2">
      <c r="A6" t="s">
        <v>187</v>
      </c>
      <c r="C6" s="30">
        <f>Assumptions!C12/365*IS!C19</f>
        <v>2426</v>
      </c>
      <c r="D6" s="30">
        <f>Assumptions!D12/365*IS!D19</f>
        <v>3956.0000000000005</v>
      </c>
      <c r="E6" s="30">
        <f>Assumptions!E12/365*IS!E19</f>
        <v>4164</v>
      </c>
      <c r="F6" s="30">
        <f>Assumptions!F12/365*IS!F19</f>
        <v>4537.3393972602744</v>
      </c>
      <c r="G6" s="30">
        <f>Assumptions!G12/365*IS!G19</f>
        <v>4854.9531550684942</v>
      </c>
      <c r="H6" s="30">
        <f>Assumptions!H12/365*IS!H19</f>
        <v>4752.999138812057</v>
      </c>
      <c r="I6" s="30">
        <f>Assumptions!I12/365*IS!I19</f>
        <v>5061.9440828348388</v>
      </c>
      <c r="J6" s="30">
        <f>Assumptions!J12/365*IS!J19</f>
        <v>5390.9704482191028</v>
      </c>
    </row>
    <row r="7" spans="1:10" x14ac:dyDescent="0.2">
      <c r="A7" t="s">
        <v>188</v>
      </c>
      <c r="C7" s="30">
        <f>Assumptions!C13/365</f>
        <v>0</v>
      </c>
      <c r="D7" s="30">
        <f>Assumptions!D13/365</f>
        <v>0</v>
      </c>
      <c r="E7" s="30">
        <f>Assumptions!E13/365</f>
        <v>0</v>
      </c>
      <c r="F7" s="30">
        <f>Assumptions!F13/365</f>
        <v>0</v>
      </c>
      <c r="G7" s="30">
        <f>Assumptions!G13/365</f>
        <v>0</v>
      </c>
      <c r="H7" s="30">
        <f>Assumptions!H13/365</f>
        <v>0</v>
      </c>
      <c r="I7" s="30">
        <f>Assumptions!I13/365</f>
        <v>0</v>
      </c>
      <c r="J7" s="30">
        <f>Assumptions!J13/365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60A0-4F56-4945-A987-A29095672D8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50CFE-D0BB-9A48-980A-212CF0B3318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51-7A5A-794C-96B2-478D35C4F3B9}">
  <sheetPr>
    <tabColor theme="9" tint="0.39997558519241921"/>
  </sheetPr>
  <dimension ref="A1"/>
  <sheetViews>
    <sheetView workbookViewId="0">
      <selection activeCell="A12" sqref="A12:XFD12"/>
    </sheetView>
  </sheetViews>
  <sheetFormatPr baseColWidth="10" defaultRowHeight="16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8C098-C6A3-5B4B-9CE0-7F4E98F70504}">
  <sheetPr>
    <tabColor theme="9" tint="0.39997558519241921"/>
  </sheetPr>
  <dimension ref="A1"/>
  <sheetViews>
    <sheetView workbookViewId="0">
      <selection sqref="A1:BF1"/>
    </sheetView>
  </sheetViews>
  <sheetFormatPr baseColWidth="10" defaultRowHeight="14" x14ac:dyDescent="0.2"/>
  <cols>
    <col min="1" max="36" width="10.83203125" style="1"/>
    <col min="37" max="37" width="10.83203125" style="1" customWidth="1"/>
    <col min="38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Assumptions</vt:lpstr>
      <vt:lpstr>IS</vt:lpstr>
      <vt:lpstr>BS</vt:lpstr>
      <vt:lpstr>CFS</vt:lpstr>
      <vt:lpstr>Check</vt:lpstr>
      <vt:lpstr>PP&amp;E Sch</vt:lpstr>
      <vt:lpstr>WC Sch</vt:lpstr>
      <vt:lpstr>Sheet1</vt:lpstr>
      <vt:lpstr>WACC</vt:lpstr>
      <vt:lpstr>DCF</vt:lpstr>
      <vt:lpstr>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2026-07-04T15:42:44Z</dcterms:created>
  <dcterms:modified xsi:type="dcterms:W3CDTF">2026-08-14T03:58:02Z</dcterms:modified>
</cp:coreProperties>
</file>