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shagosain/Desktop/WorkX/Finance/projects/3 statement model/model/"/>
    </mc:Choice>
  </mc:AlternateContent>
  <xr:revisionPtr revIDLastSave="0" documentId="13_ncr:1_{F28515B0-1B67-3146-9E86-B187C18C3BE7}" xr6:coauthVersionLast="47" xr6:coauthVersionMax="47" xr10:uidLastSave="{00000000-0000-0000-0000-000000000000}"/>
  <bookViews>
    <workbookView xWindow="0" yWindow="660" windowWidth="29400" windowHeight="18460" activeTab="1" xr2:uid="{C2ABDD43-7712-494D-BFB8-6BE793A7A1EB}"/>
  </bookViews>
  <sheets>
    <sheet name="Cover" sheetId="1" r:id="rId1"/>
    <sheet name="Assumptions" sheetId="2" r:id="rId2"/>
    <sheet name="IS" sheetId="3" r:id="rId3"/>
    <sheet name="BS" sheetId="4" r:id="rId4"/>
    <sheet name="CFS" sheetId="5" r:id="rId5"/>
    <sheet name="Check" sheetId="6" r:id="rId6"/>
    <sheet name="PP&amp;E Sch" sheetId="7" r:id="rId7"/>
    <sheet name="WC Sch" sheetId="8" r:id="rId8"/>
    <sheet name="WACC" sheetId="9" r:id="rId9"/>
    <sheet name="DCF" sheetId="10" r:id="rId10"/>
    <sheet name="Sensitivity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7" i="2" l="1"/>
  <c r="D17" i="2"/>
  <c r="C17" i="2"/>
  <c r="E13" i="2"/>
  <c r="D13" i="2"/>
  <c r="C13" i="2"/>
  <c r="E12" i="2"/>
  <c r="D12" i="2"/>
  <c r="C12" i="2"/>
  <c r="E9" i="2"/>
  <c r="D9" i="2"/>
  <c r="C9" i="2"/>
  <c r="C8" i="2"/>
  <c r="E8" i="2"/>
  <c r="D8" i="2"/>
  <c r="E29" i="3"/>
  <c r="D29" i="3"/>
  <c r="C29" i="3"/>
  <c r="E5" i="2"/>
  <c r="D5" i="2"/>
  <c r="E3" i="6"/>
  <c r="D3" i="6"/>
  <c r="C3" i="6"/>
  <c r="C29" i="4"/>
</calcChain>
</file>

<file path=xl/sharedStrings.xml><?xml version="1.0" encoding="utf-8"?>
<sst xmlns="http://schemas.openxmlformats.org/spreadsheetml/2006/main" count="204" uniqueCount="171">
  <si>
    <t>Infosys Limited</t>
  </si>
  <si>
    <t>Income Statement (₹ Crores)</t>
  </si>
  <si>
    <t>Line Item</t>
  </si>
  <si>
    <t>FY23</t>
  </si>
  <si>
    <t>FY24</t>
  </si>
  <si>
    <t>FY25</t>
  </si>
  <si>
    <t>Revenue from operations</t>
  </si>
  <si>
    <t>Other income, net</t>
  </si>
  <si>
    <t>Total income</t>
  </si>
  <si>
    <t>Expenses</t>
  </si>
  <si>
    <t>Employee benefit expenses</t>
  </si>
  <si>
    <t>Cost of technical sub contractors</t>
  </si>
  <si>
    <t>Travel expenses</t>
  </si>
  <si>
    <t>Communication expenses</t>
  </si>
  <si>
    <t>Finance cost</t>
  </si>
  <si>
    <t>Other expenses</t>
  </si>
  <si>
    <t>Total expenses</t>
  </si>
  <si>
    <t>Profit before tax</t>
  </si>
  <si>
    <t>Tax expense:</t>
  </si>
  <si>
    <t>Current tax</t>
  </si>
  <si>
    <t>Deffered tax</t>
  </si>
  <si>
    <t>Profit for the year</t>
  </si>
  <si>
    <t>Cost of software packages and others</t>
  </si>
  <si>
    <t>Consultancy and professional charges</t>
  </si>
  <si>
    <t>Depreciation and amortization expenses</t>
  </si>
  <si>
    <t>Assets</t>
  </si>
  <si>
    <t>Non current assets</t>
  </si>
  <si>
    <t>Property, plant and equipment</t>
  </si>
  <si>
    <t>Right of use assets</t>
  </si>
  <si>
    <t>Capital work in progress</t>
  </si>
  <si>
    <t>Goodwill</t>
  </si>
  <si>
    <t>Other intangible assets</t>
  </si>
  <si>
    <t>Financial assets</t>
  </si>
  <si>
    <t>Investments</t>
  </si>
  <si>
    <t>Loans</t>
  </si>
  <si>
    <t>Other financial assets</t>
  </si>
  <si>
    <t>Deferred tax assets (net)</t>
  </si>
  <si>
    <t>Income tax assets (net)</t>
  </si>
  <si>
    <t>Other non-current assets</t>
  </si>
  <si>
    <t>Total non-current assets</t>
  </si>
  <si>
    <t>Current assets</t>
  </si>
  <si>
    <t>Trade receivables</t>
  </si>
  <si>
    <t>Cash and cash equivalents</t>
  </si>
  <si>
    <t>Other current assets</t>
  </si>
  <si>
    <t>Total current assets</t>
  </si>
  <si>
    <t>Total assets</t>
  </si>
  <si>
    <t>Equity</t>
  </si>
  <si>
    <t>Equity share capital</t>
  </si>
  <si>
    <t>Other equity</t>
  </si>
  <si>
    <t>Total equity</t>
  </si>
  <si>
    <t>Liabilities</t>
  </si>
  <si>
    <t>Non-current liabilities</t>
  </si>
  <si>
    <t>Financial liabilities</t>
  </si>
  <si>
    <t>Lease liabilities</t>
  </si>
  <si>
    <t>Trade payables</t>
  </si>
  <si>
    <t>Other financial libilities</t>
  </si>
  <si>
    <t>Other current liabilities</t>
  </si>
  <si>
    <t>Provisions</t>
  </si>
  <si>
    <t>Income tax liabilities (net)</t>
  </si>
  <si>
    <t>Total current liabilities</t>
  </si>
  <si>
    <t>Total equity and liabilities</t>
  </si>
  <si>
    <t>Deferred tax liabilities (net)</t>
  </si>
  <si>
    <t>Other non-current liabilities</t>
  </si>
  <si>
    <t>Total non-current liabilities</t>
  </si>
  <si>
    <t>Current liabilities</t>
  </si>
  <si>
    <t>1.01,337</t>
  </si>
  <si>
    <t>Total equity attributable to equity holders of the company</t>
  </si>
  <si>
    <t>Non-controlling interests</t>
  </si>
  <si>
    <t>Cash fow from operating activities</t>
  </si>
  <si>
    <t>Adjustments to reconcile net profit to net cash provided by operating activities</t>
  </si>
  <si>
    <t>Depreciation and amortization</t>
  </si>
  <si>
    <t>Interest and dividend income</t>
  </si>
  <si>
    <t>Stock compensation expense</t>
  </si>
  <si>
    <t>Provision for post sale client support</t>
  </si>
  <si>
    <t>Exchange differences on translation of assets and liabilities, net</t>
  </si>
  <si>
    <t>Interest receivable on income tax refund</t>
  </si>
  <si>
    <t>Other adjustments</t>
  </si>
  <si>
    <t>Changes in assets and liabilities</t>
  </si>
  <si>
    <t>Trade receivables and unbilled revenue</t>
  </si>
  <si>
    <t>Loans, other financial assets and other assets</t>
  </si>
  <si>
    <t>Other financial liabilities, other liabilities and provisions</t>
  </si>
  <si>
    <t>Cash generated from operations</t>
  </si>
  <si>
    <t>Income taxes paid</t>
  </si>
  <si>
    <t>Net cash generated by operating activities</t>
  </si>
  <si>
    <t>Cash flow from investing activities</t>
  </si>
  <si>
    <t>Expenditure on property, plant and equipment</t>
  </si>
  <si>
    <t>Deposits placed with corporation</t>
  </si>
  <si>
    <t>Redemption of deposits placed with corporation</t>
  </si>
  <si>
    <t>Other receipts</t>
  </si>
  <si>
    <t xml:space="preserve">Interest and dividend received </t>
  </si>
  <si>
    <t xml:space="preserve">Dividend received from subsidiary </t>
  </si>
  <si>
    <t xml:space="preserve">Loan given to subsidiaries </t>
  </si>
  <si>
    <t xml:space="preserve">Loan repaid by subsidiaries </t>
  </si>
  <si>
    <t xml:space="preserve">Investment in subsidiaries </t>
  </si>
  <si>
    <t xml:space="preserve">Receipt / (payment) towards business transfer for entities under common control </t>
  </si>
  <si>
    <t>Receipt / (payment) from entities under liquidation</t>
  </si>
  <si>
    <t xml:space="preserve">Escrow and other deposits pertaining to buyback </t>
  </si>
  <si>
    <t xml:space="preserve">Redemption of escrow and other deposits pertaining to buyback </t>
  </si>
  <si>
    <t>Payments to acquire investments</t>
  </si>
  <si>
    <t>Proceeds on sale of investments</t>
  </si>
  <si>
    <t>Net cash (used in) / generated from investing activities</t>
  </si>
  <si>
    <t xml:space="preserve">Liquid mutual fund units </t>
  </si>
  <si>
    <t xml:space="preserve">Target maturity fund units </t>
  </si>
  <si>
    <t>Tax-free bonds and government bonds</t>
  </si>
  <si>
    <t xml:space="preserve">Commercial papers </t>
  </si>
  <si>
    <t xml:space="preserve">Certificates of deposit </t>
  </si>
  <si>
    <t>Government securities</t>
  </si>
  <si>
    <t xml:space="preserve">Non-convertible debentures </t>
  </si>
  <si>
    <t>Others</t>
  </si>
  <si>
    <t xml:space="preserve">Tax-free bonds and government bonds </t>
  </si>
  <si>
    <t>Non-convertible debentures</t>
  </si>
  <si>
    <t>Certificates of deposit</t>
  </si>
  <si>
    <t xml:space="preserve">Government securities </t>
  </si>
  <si>
    <t>Commercial papers</t>
  </si>
  <si>
    <t>Cash flow from financing activities</t>
  </si>
  <si>
    <t xml:space="preserve">Payment of lease liabilities </t>
  </si>
  <si>
    <t xml:space="preserve">Buyback of equity shares, including transaction costs and tax on buyback </t>
  </si>
  <si>
    <t>Shares issued on exercise of employee stock options</t>
  </si>
  <si>
    <t>Other payments</t>
  </si>
  <si>
    <t>Payment of dividends</t>
  </si>
  <si>
    <t>Net cash used in financing activities</t>
  </si>
  <si>
    <t>Net increase/(decrease) in cash and cash equivalents</t>
  </si>
  <si>
    <t>Effect of exchange differences on translation of foreign currency cash and cash equivalents</t>
  </si>
  <si>
    <t>Cash and cash equivalents at the beginning of the year</t>
  </si>
  <si>
    <t>Cash and cash equivalents at the end of the year</t>
  </si>
  <si>
    <t xml:space="preserve">Supplementary information </t>
  </si>
  <si>
    <t>Restricted cash balance</t>
  </si>
  <si>
    <t xml:space="preserve">Income tax expense </t>
  </si>
  <si>
    <t>Impairment loss recognized/(reversed) under expected credit loss model</t>
  </si>
  <si>
    <t>Payment towards acquisition of business, net of cash acquired</t>
  </si>
  <si>
    <t>Payment of contingent consideration pertaining to acquisition of business</t>
  </si>
  <si>
    <t>Cash Flow Statement (₹ Crores)</t>
  </si>
  <si>
    <t>Balance Sheet (₹ Crores)</t>
  </si>
  <si>
    <t>Check</t>
  </si>
  <si>
    <t>Other comprehensive income</t>
  </si>
  <si>
    <t>Items that will not be reclassified subsequently to profit or loss</t>
  </si>
  <si>
    <t>Remeasurement of the net defined benefit liability/ asset, net</t>
  </si>
  <si>
    <t>Equity instruments through other comprehensive income, net</t>
  </si>
  <si>
    <t>Items that will be reclassified subsequently to profit or loss</t>
  </si>
  <si>
    <t>Fair value changes on derivatives designated as cash flow hedge, net</t>
  </si>
  <si>
    <t>Fair value changes on investments, net</t>
  </si>
  <si>
    <t>Total other comprehensive income/ (loss), net of tax</t>
  </si>
  <si>
    <t>Total comprehensive income for the year</t>
  </si>
  <si>
    <t>Earnings per equity share</t>
  </si>
  <si>
    <t>Equity shares of par value ₹5 each</t>
  </si>
  <si>
    <t>Basic (in ₹ per share)</t>
  </si>
  <si>
    <t>Diluted (in ₹ per share)</t>
  </si>
  <si>
    <t>Weighted average equity shares used in computing earnings per equity share</t>
  </si>
  <si>
    <t>Basic (in shares)</t>
  </si>
  <si>
    <t>Diluted (in shares)</t>
  </si>
  <si>
    <t>Profit attributable to:</t>
  </si>
  <si>
    <t>Owners of the company</t>
  </si>
  <si>
    <t>Total comprehensive income attributable to:</t>
  </si>
  <si>
    <t>Operating Drivers / Assumptions</t>
  </si>
  <si>
    <t>Driver</t>
  </si>
  <si>
    <t>FY26</t>
  </si>
  <si>
    <t>FY27</t>
  </si>
  <si>
    <t>FY28</t>
  </si>
  <si>
    <t>FY29</t>
  </si>
  <si>
    <t>FY30</t>
  </si>
  <si>
    <t>Revenue Growth %</t>
  </si>
  <si>
    <t>Margins</t>
  </si>
  <si>
    <t>EBIT Margit</t>
  </si>
  <si>
    <t>Net Margin</t>
  </si>
  <si>
    <t>Working capital</t>
  </si>
  <si>
    <t>DSO</t>
  </si>
  <si>
    <t>DPO</t>
  </si>
  <si>
    <t>DIO</t>
  </si>
  <si>
    <t>Capital Investment</t>
  </si>
  <si>
    <t>Capex % Revenue</t>
  </si>
  <si>
    <t>EBIT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</si>
</sst>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b/>
      <sz val="12"/>
      <color theme="8" tint="-0.249977111117893"/>
      <name val="Calibri"/>
      <family val="2"/>
      <scheme val="minor"/>
    </font>
    <font>
      <sz val="8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0"/>
      <color theme="9" tint="-0.249977111117893"/>
      <name val="Arial Unicode MS"/>
      <family val="2"/>
    </font>
    <font>
      <b/>
      <sz val="14"/>
      <color theme="1"/>
      <name val="Calibri (Body)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164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3" fillId="0" borderId="0" xfId="0" applyFont="1"/>
    <xf numFmtId="3" fontId="4" fillId="0" borderId="0" xfId="0" applyNumberFormat="1" applyFont="1"/>
    <xf numFmtId="0" fontId="4" fillId="0" borderId="0" xfId="0" applyFont="1"/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wrapText="1"/>
    </xf>
    <xf numFmtId="3" fontId="5" fillId="0" borderId="0" xfId="0" applyNumberFormat="1" applyFont="1"/>
    <xf numFmtId="0" fontId="5" fillId="0" borderId="0" xfId="0" applyFont="1" applyAlignment="1">
      <alignment horizontal="right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1" fillId="0" borderId="0" xfId="0" applyFont="1" applyAlignment="1">
      <alignment horizontal="left" indent="2"/>
    </xf>
    <xf numFmtId="0" fontId="1" fillId="2" borderId="1" xfId="0" applyFont="1" applyFill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2" fontId="7" fillId="0" borderId="0" xfId="0" applyNumberFormat="1" applyFont="1"/>
    <xf numFmtId="2" fontId="7" fillId="0" borderId="1" xfId="0" applyNumberFormat="1" applyFont="1" applyBorder="1"/>
    <xf numFmtId="2" fontId="8" fillId="0" borderId="0" xfId="0" applyNumberFormat="1" applyFont="1"/>
    <xf numFmtId="2" fontId="8" fillId="0" borderId="1" xfId="0" applyNumberFormat="1" applyFont="1" applyBorder="1"/>
    <xf numFmtId="0" fontId="9" fillId="0" borderId="0" xfId="0" applyFont="1" applyAlignment="1">
      <alignment horizontal="center"/>
    </xf>
    <xf numFmtId="10" fontId="4" fillId="0" borderId="0" xfId="0" applyNumberFormat="1" applyFon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135A8-0503-D44E-8311-19F1C84C0D20}">
  <sheetPr>
    <tabColor theme="8" tint="0.39997558519241921"/>
  </sheetPr>
  <dimension ref="A1"/>
  <sheetViews>
    <sheetView workbookViewId="0">
      <selection activeCell="L19" sqref="L19"/>
    </sheetView>
  </sheetViews>
  <sheetFormatPr baseColWidth="10" defaultColWidth="12.83203125" defaultRowHeight="15" customHeight="1" x14ac:dyDescent="0.2"/>
  <cols>
    <col min="1" max="16384" width="12.83203125" style="2"/>
  </cols>
  <sheetData>
    <row r="1" s="2" customFormat="1" ht="15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9A638-E8D2-424E-81D0-DBEF2C186B13}">
  <sheetPr>
    <tabColor theme="8" tint="0.39997558519241921"/>
  </sheetPr>
  <dimension ref="A1:J28"/>
  <sheetViews>
    <sheetView tabSelected="1" zoomScale="142" zoomScaleNormal="147" workbookViewId="0">
      <selection activeCell="J23" sqref="J23"/>
    </sheetView>
  </sheetViews>
  <sheetFormatPr baseColWidth="10" defaultRowHeight="16" x14ac:dyDescent="0.2"/>
  <cols>
    <col min="1" max="1" width="17.83203125" customWidth="1"/>
    <col min="5" max="5" width="11.33203125" customWidth="1"/>
  </cols>
  <sheetData>
    <row r="1" spans="1:10" ht="19" x14ac:dyDescent="0.25">
      <c r="D1" s="3"/>
      <c r="E1" s="29" t="s">
        <v>153</v>
      </c>
      <c r="F1" s="3"/>
    </row>
    <row r="3" spans="1:10" x14ac:dyDescent="0.2">
      <c r="A3" s="5" t="s">
        <v>154</v>
      </c>
      <c r="B3" s="5"/>
      <c r="C3" s="5" t="s">
        <v>3</v>
      </c>
      <c r="D3" s="5" t="s">
        <v>4</v>
      </c>
      <c r="E3" s="20" t="s">
        <v>5</v>
      </c>
      <c r="F3" s="5" t="s">
        <v>155</v>
      </c>
      <c r="G3" s="5" t="s">
        <v>156</v>
      </c>
      <c r="H3" s="5" t="s">
        <v>157</v>
      </c>
      <c r="I3" s="5" t="s">
        <v>158</v>
      </c>
      <c r="J3" s="5" t="s">
        <v>159</v>
      </c>
    </row>
    <row r="5" spans="1:10" x14ac:dyDescent="0.2">
      <c r="A5" s="3" t="s">
        <v>160</v>
      </c>
      <c r="C5" s="21">
        <v>0</v>
      </c>
      <c r="D5" s="22">
        <f>(IS!D5/IS!C5)-1</f>
        <v>0.23913429128969299</v>
      </c>
      <c r="E5" s="23">
        <f>(IS!E5/IS!D5)-1</f>
        <v>6.0649443612936782E-2</v>
      </c>
      <c r="F5" s="30">
        <v>7.0000000000000007E-2</v>
      </c>
      <c r="G5" s="30">
        <v>7.0000000000000007E-2</v>
      </c>
      <c r="H5" s="30">
        <v>6.8000000000000005E-2</v>
      </c>
      <c r="I5" s="30">
        <v>6.5000000000000002E-2</v>
      </c>
      <c r="J5" s="30">
        <v>6.5000000000000002E-2</v>
      </c>
    </row>
    <row r="6" spans="1:10" x14ac:dyDescent="0.2">
      <c r="C6" s="21"/>
      <c r="D6" s="21"/>
      <c r="E6" s="24"/>
      <c r="F6" s="8"/>
      <c r="G6" s="8"/>
      <c r="H6" s="8"/>
      <c r="I6" s="8"/>
      <c r="J6" s="8"/>
    </row>
    <row r="7" spans="1:10" x14ac:dyDescent="0.2">
      <c r="A7" s="3" t="s">
        <v>161</v>
      </c>
      <c r="C7" s="21"/>
      <c r="D7" s="21"/>
      <c r="E7" s="24"/>
      <c r="F7" s="8"/>
      <c r="G7" s="8"/>
      <c r="H7" s="8"/>
      <c r="I7" s="8"/>
      <c r="J7" s="8"/>
    </row>
    <row r="8" spans="1:10" x14ac:dyDescent="0.2">
      <c r="A8" t="s">
        <v>162</v>
      </c>
      <c r="C8" s="22">
        <f>IS!C29/IS!C5</f>
        <v>0.25642266195752095</v>
      </c>
      <c r="D8" s="22">
        <f>IS!D29/IS!D5</f>
        <v>0.23724864970391099</v>
      </c>
      <c r="E8" s="23">
        <f>IS!E29/IS!E5</f>
        <v>0.23329038591324622</v>
      </c>
      <c r="F8" s="30">
        <v>0.23300000000000001</v>
      </c>
      <c r="G8" s="30">
        <v>0.23400000000000001</v>
      </c>
      <c r="H8" s="30">
        <v>0.23499999999999999</v>
      </c>
      <c r="I8" s="30">
        <v>0.23499999999999999</v>
      </c>
      <c r="J8" s="30">
        <v>0.23499999999999999</v>
      </c>
    </row>
    <row r="9" spans="1:10" x14ac:dyDescent="0.2">
      <c r="A9" t="s">
        <v>163</v>
      </c>
      <c r="C9" s="22">
        <f>IS!C27/IS!C5</f>
        <v>0.18762397793797475</v>
      </c>
      <c r="D9" s="22">
        <f>IS!D27/IS!D5</f>
        <v>0.17080757467300059</v>
      </c>
      <c r="E9" s="23">
        <f>IS!E27/IS!E5</f>
        <v>0.16412049819007302</v>
      </c>
      <c r="F9" s="30">
        <v>0.16500000000000001</v>
      </c>
      <c r="G9" s="30">
        <v>0.16500000000000001</v>
      </c>
      <c r="H9" s="30">
        <v>0.16600000000000001</v>
      </c>
      <c r="I9" s="30">
        <v>0.16600000000000001</v>
      </c>
      <c r="J9" s="30">
        <v>0.16700000000000001</v>
      </c>
    </row>
    <row r="10" spans="1:10" x14ac:dyDescent="0.2">
      <c r="C10" s="21"/>
      <c r="D10" s="21"/>
      <c r="E10" s="24"/>
      <c r="F10" s="8"/>
      <c r="G10" s="8"/>
      <c r="H10" s="8"/>
      <c r="I10" s="8"/>
      <c r="J10" s="8"/>
    </row>
    <row r="11" spans="1:10" x14ac:dyDescent="0.2">
      <c r="A11" s="3" t="s">
        <v>164</v>
      </c>
      <c r="C11" s="21"/>
      <c r="D11" s="21"/>
      <c r="E11" s="24"/>
      <c r="F11" s="8"/>
      <c r="G11" s="8"/>
      <c r="H11" s="8"/>
      <c r="I11" s="8"/>
      <c r="J11" s="8"/>
    </row>
    <row r="12" spans="1:10" x14ac:dyDescent="0.2">
      <c r="A12" t="s">
        <v>165</v>
      </c>
      <c r="C12" s="25">
        <f>BS!C25/IS!C5*365</f>
        <v>61.139427806537967</v>
      </c>
      <c r="D12" s="25">
        <f>BS!D25/IS!D5*365</f>
        <v>71.715006182078483</v>
      </c>
      <c r="E12" s="26">
        <f>BS!E25/IS!E5*365</f>
        <v>69.775262286029815</v>
      </c>
      <c r="F12" s="8">
        <v>70</v>
      </c>
      <c r="G12" s="8">
        <v>69</v>
      </c>
      <c r="H12" s="8">
        <v>69</v>
      </c>
      <c r="I12" s="8">
        <v>68</v>
      </c>
      <c r="J12" s="8">
        <v>68</v>
      </c>
    </row>
    <row r="13" spans="1:10" ht="17" x14ac:dyDescent="0.25">
      <c r="A13" t="s">
        <v>166</v>
      </c>
      <c r="C13" s="27">
        <f>BS!C56/IS!C19*365</f>
        <v>9.2018081679309986</v>
      </c>
      <c r="D13" s="27">
        <f>BS!D56/IS!D19*365</f>
        <v>11.797570122474326</v>
      </c>
      <c r="E13" s="28">
        <f>BS!E56/IS!E19*365</f>
        <v>11.78350467507094</v>
      </c>
      <c r="F13" s="8">
        <v>12</v>
      </c>
      <c r="G13" s="8">
        <v>12</v>
      </c>
      <c r="H13" s="8">
        <v>11</v>
      </c>
      <c r="I13" s="8">
        <v>11</v>
      </c>
      <c r="J13" s="8">
        <v>11</v>
      </c>
    </row>
    <row r="14" spans="1:10" x14ac:dyDescent="0.2">
      <c r="A14" t="s">
        <v>167</v>
      </c>
      <c r="C14" s="21">
        <v>0</v>
      </c>
      <c r="D14" s="21">
        <v>0</v>
      </c>
      <c r="E14" s="24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</row>
    <row r="15" spans="1:10" x14ac:dyDescent="0.2">
      <c r="C15" s="21"/>
      <c r="D15" s="21"/>
      <c r="E15" s="24"/>
      <c r="F15" s="8"/>
      <c r="G15" s="8"/>
      <c r="H15" s="8"/>
      <c r="I15" s="8"/>
      <c r="J15" s="8"/>
    </row>
    <row r="16" spans="1:10" x14ac:dyDescent="0.2">
      <c r="A16" s="3" t="s">
        <v>168</v>
      </c>
      <c r="C16" s="21"/>
      <c r="D16" s="21"/>
      <c r="E16" s="24"/>
      <c r="F16" s="8"/>
      <c r="G16" s="8"/>
      <c r="H16" s="8"/>
      <c r="I16" s="8"/>
      <c r="J16" s="8"/>
    </row>
    <row r="17" spans="1:10" x14ac:dyDescent="0.2">
      <c r="A17" t="s">
        <v>169</v>
      </c>
      <c r="C17" s="22">
        <f>CFS!C32/IS!C5</f>
        <v>-1.7175480187720742E-2</v>
      </c>
      <c r="D17" s="22">
        <f>CFS!D32/IS!D5</f>
        <v>-1.4322899720179605E-2</v>
      </c>
      <c r="E17" s="23">
        <f>CFS!E32/IS!E5</f>
        <v>-1.3724768390698815E-2</v>
      </c>
      <c r="F17" s="30">
        <v>-1.4E-2</v>
      </c>
      <c r="G17" s="30">
        <v>-1.4E-2</v>
      </c>
      <c r="H17" s="30">
        <v>-1.4500000000000001E-2</v>
      </c>
      <c r="I17" s="30">
        <v>-1.47E-2</v>
      </c>
      <c r="J17" s="30">
        <v>-1.4999999999999999E-2</v>
      </c>
    </row>
    <row r="19" spans="1:10" x14ac:dyDescent="0.2">
      <c r="E19" s="18"/>
    </row>
    <row r="20" spans="1:10" x14ac:dyDescent="0.2">
      <c r="E20" s="18"/>
    </row>
    <row r="21" spans="1:10" x14ac:dyDescent="0.2">
      <c r="E21" s="18"/>
    </row>
    <row r="22" spans="1:10" x14ac:dyDescent="0.2">
      <c r="E22" s="18"/>
    </row>
    <row r="23" spans="1:10" x14ac:dyDescent="0.2">
      <c r="E23" s="18"/>
    </row>
    <row r="24" spans="1:10" x14ac:dyDescent="0.2">
      <c r="E24" s="18"/>
    </row>
    <row r="25" spans="1:10" x14ac:dyDescent="0.2">
      <c r="E25" s="18"/>
    </row>
    <row r="26" spans="1:10" x14ac:dyDescent="0.2">
      <c r="E26" s="18"/>
    </row>
    <row r="27" spans="1:10" x14ac:dyDescent="0.2">
      <c r="E27" s="18"/>
    </row>
    <row r="28" spans="1:10" x14ac:dyDescent="0.2">
      <c r="E28" s="18"/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B812B-519E-F843-B3E5-803D8C044B3C}">
  <sheetPr>
    <tabColor theme="2" tint="-0.249977111117893"/>
  </sheetPr>
  <dimension ref="A1:G57"/>
  <sheetViews>
    <sheetView topLeftCell="A27" zoomScale="84" zoomScaleNormal="68" workbookViewId="0">
      <pane xSplit="1" topLeftCell="B1" activePane="topRight" state="frozen"/>
      <selection pane="topRight" activeCell="A4" sqref="A4"/>
    </sheetView>
  </sheetViews>
  <sheetFormatPr baseColWidth="10" defaultRowHeight="16" x14ac:dyDescent="0.2"/>
  <cols>
    <col min="1" max="1" width="64" customWidth="1"/>
    <col min="3" max="5" width="13.1640625" bestFit="1" customWidth="1"/>
  </cols>
  <sheetData>
    <row r="1" spans="1:7" x14ac:dyDescent="0.2">
      <c r="A1" s="3" t="s">
        <v>0</v>
      </c>
    </row>
    <row r="2" spans="1:7" x14ac:dyDescent="0.2">
      <c r="A2" s="3" t="s">
        <v>1</v>
      </c>
    </row>
    <row r="4" spans="1:7" x14ac:dyDescent="0.2">
      <c r="A4" s="5" t="s">
        <v>2</v>
      </c>
      <c r="B4" s="5"/>
      <c r="C4" s="5" t="s">
        <v>3</v>
      </c>
      <c r="D4" s="5" t="s">
        <v>4</v>
      </c>
      <c r="E4" s="5" t="s">
        <v>5</v>
      </c>
    </row>
    <row r="5" spans="1:7" x14ac:dyDescent="0.2">
      <c r="A5" t="s">
        <v>6</v>
      </c>
      <c r="C5" s="7">
        <v>124014</v>
      </c>
      <c r="D5" s="7">
        <v>153670</v>
      </c>
      <c r="E5" s="7">
        <v>162990</v>
      </c>
    </row>
    <row r="6" spans="1:7" x14ac:dyDescent="0.2">
      <c r="A6" t="s">
        <v>7</v>
      </c>
      <c r="C6" s="7">
        <v>3859</v>
      </c>
      <c r="D6" s="7">
        <v>4711</v>
      </c>
      <c r="E6" s="7">
        <v>3600</v>
      </c>
    </row>
    <row r="7" spans="1:7" x14ac:dyDescent="0.2">
      <c r="A7" s="3" t="s">
        <v>8</v>
      </c>
      <c r="C7" s="7">
        <v>127873</v>
      </c>
      <c r="D7" s="7">
        <v>158381</v>
      </c>
      <c r="E7" s="7">
        <v>166590</v>
      </c>
    </row>
    <row r="8" spans="1:7" x14ac:dyDescent="0.2">
      <c r="C8" s="8"/>
      <c r="D8" s="8"/>
      <c r="E8" s="8"/>
    </row>
    <row r="9" spans="1:7" x14ac:dyDescent="0.2">
      <c r="A9" s="3" t="s">
        <v>9</v>
      </c>
      <c r="C9" s="8"/>
      <c r="D9" s="8"/>
      <c r="E9" s="8"/>
    </row>
    <row r="10" spans="1:7" x14ac:dyDescent="0.2">
      <c r="A10" s="9" t="s">
        <v>10</v>
      </c>
      <c r="C10" s="7">
        <v>62764</v>
      </c>
      <c r="D10" s="7">
        <v>82620</v>
      </c>
      <c r="E10" s="7">
        <v>85950</v>
      </c>
    </row>
    <row r="11" spans="1:7" x14ac:dyDescent="0.2">
      <c r="A11" s="9" t="s">
        <v>11</v>
      </c>
      <c r="C11" s="7">
        <v>19096</v>
      </c>
      <c r="D11" s="7">
        <v>12232</v>
      </c>
      <c r="E11" s="7">
        <v>12937</v>
      </c>
    </row>
    <row r="12" spans="1:7" x14ac:dyDescent="0.2">
      <c r="A12" s="9" t="s">
        <v>12</v>
      </c>
      <c r="C12" s="7">
        <v>1227</v>
      </c>
      <c r="D12" s="7">
        <v>1759</v>
      </c>
      <c r="E12" s="7">
        <v>1894</v>
      </c>
    </row>
    <row r="13" spans="1:7" x14ac:dyDescent="0.2">
      <c r="A13" s="9" t="s">
        <v>22</v>
      </c>
      <c r="C13" s="7">
        <v>5214</v>
      </c>
      <c r="D13" s="7">
        <v>13515</v>
      </c>
      <c r="E13" s="7">
        <v>15911</v>
      </c>
      <c r="G13" s="6"/>
    </row>
    <row r="14" spans="1:7" x14ac:dyDescent="0.2">
      <c r="A14" s="9" t="s">
        <v>13</v>
      </c>
      <c r="C14" s="7">
        <v>502</v>
      </c>
      <c r="D14" s="7">
        <v>677</v>
      </c>
      <c r="E14" s="8">
        <v>620</v>
      </c>
    </row>
    <row r="15" spans="1:7" x14ac:dyDescent="0.2">
      <c r="A15" s="9" t="s">
        <v>23</v>
      </c>
      <c r="C15" s="7">
        <v>1236</v>
      </c>
      <c r="D15" s="7">
        <v>1726</v>
      </c>
      <c r="E15" s="7">
        <v>1655</v>
      </c>
    </row>
    <row r="16" spans="1:7" x14ac:dyDescent="0.2">
      <c r="A16" s="9" t="s">
        <v>24</v>
      </c>
      <c r="C16" s="7">
        <v>2753</v>
      </c>
      <c r="D16" s="7">
        <v>4678</v>
      </c>
      <c r="E16" s="7">
        <v>4812</v>
      </c>
    </row>
    <row r="17" spans="1:5" x14ac:dyDescent="0.2">
      <c r="A17" s="9" t="s">
        <v>14</v>
      </c>
      <c r="C17" s="7">
        <v>157</v>
      </c>
      <c r="D17" s="7">
        <v>470</v>
      </c>
      <c r="E17" s="8">
        <v>416</v>
      </c>
    </row>
    <row r="18" spans="1:5" x14ac:dyDescent="0.2">
      <c r="A18" s="9" t="s">
        <v>15</v>
      </c>
      <c r="C18" s="7">
        <v>3281</v>
      </c>
      <c r="D18" s="7">
        <v>4716</v>
      </c>
      <c r="E18" s="7">
        <v>4787</v>
      </c>
    </row>
    <row r="19" spans="1:5" x14ac:dyDescent="0.2">
      <c r="A19" s="3" t="s">
        <v>16</v>
      </c>
      <c r="C19" s="7">
        <v>96230</v>
      </c>
      <c r="D19" s="7">
        <v>122393</v>
      </c>
      <c r="E19" s="7">
        <v>128982</v>
      </c>
    </row>
    <row r="20" spans="1:5" x14ac:dyDescent="0.2">
      <c r="A20" s="3"/>
      <c r="C20" s="8"/>
      <c r="D20" s="7"/>
      <c r="E20" s="8"/>
    </row>
    <row r="21" spans="1:5" x14ac:dyDescent="0.2">
      <c r="A21" s="3" t="s">
        <v>17</v>
      </c>
      <c r="C21" s="7">
        <v>31643</v>
      </c>
      <c r="D21" s="7">
        <v>35988</v>
      </c>
      <c r="E21" s="7">
        <v>37608</v>
      </c>
    </row>
    <row r="22" spans="1:5" x14ac:dyDescent="0.2">
      <c r="C22" s="8"/>
      <c r="D22" s="8"/>
      <c r="E22" s="8"/>
    </row>
    <row r="23" spans="1:5" x14ac:dyDescent="0.2">
      <c r="A23" t="s">
        <v>18</v>
      </c>
      <c r="C23" s="8"/>
      <c r="D23" s="8"/>
      <c r="E23" s="8"/>
    </row>
    <row r="24" spans="1:5" x14ac:dyDescent="0.2">
      <c r="A24" t="s">
        <v>19</v>
      </c>
      <c r="C24" s="7">
        <v>8167</v>
      </c>
      <c r="D24" s="7">
        <v>8390</v>
      </c>
      <c r="E24" s="7">
        <v>12130</v>
      </c>
    </row>
    <row r="25" spans="1:5" x14ac:dyDescent="0.2">
      <c r="A25" t="s">
        <v>20</v>
      </c>
      <c r="C25" s="8">
        <v>208</v>
      </c>
      <c r="D25" s="7">
        <v>1350</v>
      </c>
      <c r="E25" s="7">
        <v>-1272</v>
      </c>
    </row>
    <row r="26" spans="1:5" x14ac:dyDescent="0.2">
      <c r="C26" s="8"/>
      <c r="D26" s="8"/>
      <c r="E26" s="8"/>
    </row>
    <row r="27" spans="1:5" x14ac:dyDescent="0.2">
      <c r="A27" s="3" t="s">
        <v>21</v>
      </c>
      <c r="C27" s="7">
        <v>23268</v>
      </c>
      <c r="D27" s="7">
        <v>26248</v>
      </c>
      <c r="E27" s="7">
        <v>26750</v>
      </c>
    </row>
    <row r="29" spans="1:5" x14ac:dyDescent="0.2">
      <c r="A29" s="19" t="s">
        <v>170</v>
      </c>
      <c r="C29" s="7">
        <f>C17+C21</f>
        <v>31800</v>
      </c>
      <c r="D29" s="7">
        <f>D17+D21</f>
        <v>36458</v>
      </c>
      <c r="E29" s="7">
        <f>E17+E21</f>
        <v>38024</v>
      </c>
    </row>
    <row r="31" spans="1:5" x14ac:dyDescent="0.2">
      <c r="A31" s="3" t="s">
        <v>134</v>
      </c>
    </row>
    <row r="32" spans="1:5" x14ac:dyDescent="0.2">
      <c r="A32" t="s">
        <v>135</v>
      </c>
    </row>
    <row r="33" spans="1:5" x14ac:dyDescent="0.2">
      <c r="A33" s="9" t="s">
        <v>136</v>
      </c>
      <c r="C33" s="8">
        <v>-19</v>
      </c>
      <c r="D33" s="8">
        <v>0</v>
      </c>
      <c r="E33" s="8">
        <v>-92</v>
      </c>
    </row>
    <row r="34" spans="1:5" x14ac:dyDescent="0.2">
      <c r="A34" s="9" t="s">
        <v>137</v>
      </c>
      <c r="C34" s="8">
        <v>-6</v>
      </c>
      <c r="D34" s="8">
        <v>0</v>
      </c>
      <c r="E34" s="8">
        <v>19</v>
      </c>
    </row>
    <row r="35" spans="1:5" x14ac:dyDescent="0.2">
      <c r="A35" t="s">
        <v>138</v>
      </c>
      <c r="C35" s="8"/>
      <c r="D35" s="8"/>
      <c r="E35" s="8"/>
    </row>
    <row r="36" spans="1:5" x14ac:dyDescent="0.2">
      <c r="A36" s="9" t="s">
        <v>139</v>
      </c>
      <c r="C36" s="8">
        <v>-7</v>
      </c>
      <c r="D36" s="8">
        <v>0</v>
      </c>
      <c r="E36" s="8">
        <v>-24</v>
      </c>
    </row>
    <row r="37" spans="1:5" x14ac:dyDescent="0.2">
      <c r="A37" s="9" t="s">
        <v>140</v>
      </c>
      <c r="C37" s="8">
        <v>-236</v>
      </c>
      <c r="D37" s="8">
        <v>0</v>
      </c>
      <c r="E37" s="8">
        <v>199</v>
      </c>
    </row>
    <row r="38" spans="1:5" x14ac:dyDescent="0.2">
      <c r="A38" s="3" t="s">
        <v>141</v>
      </c>
      <c r="C38" s="16">
        <v>-268</v>
      </c>
      <c r="D38" s="8">
        <v>0</v>
      </c>
      <c r="E38" s="8">
        <v>459</v>
      </c>
    </row>
    <row r="39" spans="1:5" x14ac:dyDescent="0.2">
      <c r="A39" s="3" t="s">
        <v>142</v>
      </c>
      <c r="C39" s="12">
        <v>23000</v>
      </c>
      <c r="D39" s="12">
        <v>0</v>
      </c>
      <c r="E39" s="12">
        <v>27209</v>
      </c>
    </row>
    <row r="40" spans="1:5" x14ac:dyDescent="0.2">
      <c r="A40" s="3"/>
      <c r="C40" s="8"/>
      <c r="D40" s="8"/>
      <c r="E40" s="8"/>
    </row>
    <row r="41" spans="1:5" x14ac:dyDescent="0.2">
      <c r="A41" s="3" t="s">
        <v>150</v>
      </c>
      <c r="C41" s="8"/>
      <c r="D41" s="8"/>
      <c r="E41" s="8"/>
    </row>
    <row r="42" spans="1:5" x14ac:dyDescent="0.2">
      <c r="A42" t="s">
        <v>151</v>
      </c>
      <c r="C42" s="8">
        <v>0</v>
      </c>
      <c r="D42" s="7">
        <v>26233</v>
      </c>
      <c r="E42" s="7">
        <v>26713</v>
      </c>
    </row>
    <row r="43" spans="1:5" x14ac:dyDescent="0.2">
      <c r="A43" t="s">
        <v>67</v>
      </c>
      <c r="C43" s="8">
        <v>0</v>
      </c>
      <c r="D43" s="8">
        <v>15</v>
      </c>
      <c r="E43" s="8">
        <v>37</v>
      </c>
    </row>
    <row r="44" spans="1:5" x14ac:dyDescent="0.2">
      <c r="C44" s="16">
        <v>0</v>
      </c>
      <c r="D44" s="12">
        <v>26248</v>
      </c>
      <c r="E44" s="12">
        <v>26750</v>
      </c>
    </row>
    <row r="45" spans="1:5" x14ac:dyDescent="0.2">
      <c r="C45" s="8"/>
      <c r="D45" s="8"/>
      <c r="E45" s="8"/>
    </row>
    <row r="46" spans="1:5" x14ac:dyDescent="0.2">
      <c r="A46" s="3" t="s">
        <v>152</v>
      </c>
      <c r="C46" s="8"/>
      <c r="D46" s="8"/>
      <c r="E46" s="8"/>
    </row>
    <row r="47" spans="1:5" x14ac:dyDescent="0.2">
      <c r="A47" t="s">
        <v>151</v>
      </c>
      <c r="C47" s="8">
        <v>0</v>
      </c>
      <c r="D47" s="7">
        <v>26167</v>
      </c>
      <c r="E47" s="7">
        <v>27167</v>
      </c>
    </row>
    <row r="48" spans="1:5" x14ac:dyDescent="0.2">
      <c r="A48" t="s">
        <v>67</v>
      </c>
      <c r="C48" s="8">
        <v>0</v>
      </c>
      <c r="D48" s="8">
        <v>42</v>
      </c>
      <c r="E48" s="8">
        <v>42</v>
      </c>
    </row>
    <row r="49" spans="1:5" x14ac:dyDescent="0.2">
      <c r="C49" s="16">
        <v>0</v>
      </c>
      <c r="D49" s="12">
        <v>27209</v>
      </c>
      <c r="E49" s="12">
        <v>27209</v>
      </c>
    </row>
    <row r="50" spans="1:5" x14ac:dyDescent="0.2">
      <c r="C50" s="8"/>
      <c r="D50" s="8"/>
      <c r="E50" s="8"/>
    </row>
    <row r="51" spans="1:5" x14ac:dyDescent="0.2">
      <c r="A51" s="3" t="s">
        <v>143</v>
      </c>
      <c r="C51" s="8"/>
      <c r="D51" s="8"/>
      <c r="E51" s="8"/>
    </row>
    <row r="52" spans="1:5" x14ac:dyDescent="0.2">
      <c r="A52" t="s">
        <v>144</v>
      </c>
      <c r="C52" s="8"/>
      <c r="D52" s="8"/>
      <c r="E52" s="8"/>
    </row>
    <row r="53" spans="1:5" x14ac:dyDescent="0.2">
      <c r="A53" s="9" t="s">
        <v>145</v>
      </c>
      <c r="C53" s="8">
        <v>55.48</v>
      </c>
      <c r="D53" s="8">
        <v>63.39</v>
      </c>
      <c r="E53" s="8">
        <v>64.5</v>
      </c>
    </row>
    <row r="54" spans="1:5" x14ac:dyDescent="0.2">
      <c r="A54" s="9" t="s">
        <v>146</v>
      </c>
      <c r="C54" s="8">
        <v>55.42</v>
      </c>
      <c r="D54" s="8">
        <v>63.29</v>
      </c>
      <c r="E54" s="8">
        <v>64.34</v>
      </c>
    </row>
    <row r="55" spans="1:5" x14ac:dyDescent="0.2">
      <c r="A55" t="s">
        <v>147</v>
      </c>
      <c r="C55" s="8"/>
      <c r="D55" s="8"/>
      <c r="E55" s="8"/>
    </row>
    <row r="56" spans="1:5" x14ac:dyDescent="0.2">
      <c r="A56" s="9" t="s">
        <v>148</v>
      </c>
      <c r="C56" s="7">
        <v>4193813881</v>
      </c>
      <c r="D56" s="7">
        <v>4138568090</v>
      </c>
      <c r="E56" s="7">
        <v>4141611738</v>
      </c>
    </row>
    <row r="57" spans="1:5" x14ac:dyDescent="0.2">
      <c r="A57" s="9" t="s">
        <v>149</v>
      </c>
      <c r="C57" s="7">
        <v>4198234378</v>
      </c>
      <c r="D57" s="7">
        <v>4144680425</v>
      </c>
      <c r="E57" s="7">
        <v>4152051184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641D-60F7-7B4D-9DC0-A701FB60BE57}">
  <sheetPr>
    <tabColor theme="2" tint="-0.249977111117893"/>
  </sheetPr>
  <dimension ref="A1:E63"/>
  <sheetViews>
    <sheetView zoomScale="85" workbookViewId="0">
      <pane xSplit="1" topLeftCell="B1" activePane="topRight" state="frozen"/>
      <selection pane="topRight" activeCell="A25" sqref="A25"/>
    </sheetView>
  </sheetViews>
  <sheetFormatPr baseColWidth="10" defaultRowHeight="16" x14ac:dyDescent="0.2"/>
  <cols>
    <col min="1" max="1" width="37.1640625" customWidth="1"/>
  </cols>
  <sheetData>
    <row r="1" spans="1:5" x14ac:dyDescent="0.2">
      <c r="A1" s="3" t="s">
        <v>0</v>
      </c>
    </row>
    <row r="2" spans="1:5" x14ac:dyDescent="0.2">
      <c r="A2" s="3" t="s">
        <v>132</v>
      </c>
    </row>
    <row r="4" spans="1:5" x14ac:dyDescent="0.2">
      <c r="A4" s="5" t="s">
        <v>2</v>
      </c>
      <c r="B4" s="5"/>
      <c r="C4" s="5" t="s">
        <v>3</v>
      </c>
      <c r="D4" s="5" t="s">
        <v>4</v>
      </c>
      <c r="E4" s="5" t="s">
        <v>5</v>
      </c>
    </row>
    <row r="5" spans="1:5" x14ac:dyDescent="0.2">
      <c r="A5" s="14" t="s">
        <v>25</v>
      </c>
    </row>
    <row r="7" spans="1:5" x14ac:dyDescent="0.2">
      <c r="A7" s="3" t="s">
        <v>26</v>
      </c>
    </row>
    <row r="8" spans="1:5" x14ac:dyDescent="0.2">
      <c r="A8" s="9" t="s">
        <v>27</v>
      </c>
      <c r="C8" s="7">
        <v>11656</v>
      </c>
      <c r="D8" s="7">
        <v>12370</v>
      </c>
      <c r="E8" s="7">
        <v>11778</v>
      </c>
    </row>
    <row r="9" spans="1:5" x14ac:dyDescent="0.2">
      <c r="A9" s="9" t="s">
        <v>28</v>
      </c>
      <c r="C9" s="7">
        <v>3561</v>
      </c>
      <c r="D9" s="7">
        <v>6552</v>
      </c>
      <c r="E9" s="7">
        <v>6311</v>
      </c>
    </row>
    <row r="10" spans="1:5" x14ac:dyDescent="0.2">
      <c r="A10" s="9" t="s">
        <v>29</v>
      </c>
      <c r="C10" s="8">
        <v>275</v>
      </c>
      <c r="D10" s="8">
        <v>293</v>
      </c>
      <c r="E10" s="8">
        <v>814</v>
      </c>
    </row>
    <row r="11" spans="1:5" x14ac:dyDescent="0.2">
      <c r="A11" s="9" t="s">
        <v>30</v>
      </c>
      <c r="C11" s="8">
        <v>211</v>
      </c>
      <c r="D11" s="7">
        <v>7303</v>
      </c>
      <c r="E11" s="7">
        <v>10106</v>
      </c>
    </row>
    <row r="12" spans="1:5" x14ac:dyDescent="0.2">
      <c r="A12" s="9" t="s">
        <v>31</v>
      </c>
      <c r="C12" s="8">
        <v>3</v>
      </c>
      <c r="D12" s="7">
        <v>1397</v>
      </c>
      <c r="E12" s="7">
        <v>2766</v>
      </c>
    </row>
    <row r="13" spans="1:5" x14ac:dyDescent="0.2">
      <c r="A13" s="9" t="s">
        <v>32</v>
      </c>
      <c r="C13" s="7"/>
      <c r="D13" s="8"/>
      <c r="E13" s="8"/>
    </row>
    <row r="14" spans="1:5" x14ac:dyDescent="0.2">
      <c r="A14" s="9" t="s">
        <v>33</v>
      </c>
      <c r="C14" s="7">
        <v>23686</v>
      </c>
      <c r="D14" s="7">
        <v>11708</v>
      </c>
      <c r="E14" s="7">
        <v>11059</v>
      </c>
    </row>
    <row r="15" spans="1:5" x14ac:dyDescent="0.2">
      <c r="A15" s="10" t="s">
        <v>34</v>
      </c>
      <c r="C15" s="8">
        <v>39</v>
      </c>
      <c r="D15" s="7">
        <v>34</v>
      </c>
      <c r="E15" s="7">
        <v>16</v>
      </c>
    </row>
    <row r="16" spans="1:5" x14ac:dyDescent="0.2">
      <c r="A16" s="10" t="s">
        <v>35</v>
      </c>
      <c r="C16" s="8">
        <v>1341</v>
      </c>
      <c r="D16" s="7">
        <v>3105</v>
      </c>
      <c r="E16" s="7">
        <v>3511</v>
      </c>
    </row>
    <row r="17" spans="1:5" x14ac:dyDescent="0.2">
      <c r="A17" s="10" t="s">
        <v>36</v>
      </c>
      <c r="C17" s="8">
        <v>779</v>
      </c>
      <c r="D17" s="7">
        <v>454</v>
      </c>
      <c r="E17" s="7">
        <v>1108</v>
      </c>
    </row>
    <row r="18" spans="1:5" x14ac:dyDescent="0.2">
      <c r="A18" s="9" t="s">
        <v>37</v>
      </c>
      <c r="C18" s="7">
        <v>5916</v>
      </c>
      <c r="D18" s="7">
        <v>3045</v>
      </c>
      <c r="E18" s="7">
        <v>1622</v>
      </c>
    </row>
    <row r="19" spans="1:5" x14ac:dyDescent="0.2">
      <c r="A19" s="9" t="s">
        <v>38</v>
      </c>
      <c r="C19" s="7">
        <v>1788</v>
      </c>
      <c r="D19" s="7">
        <v>2121</v>
      </c>
      <c r="E19" s="7">
        <v>2713</v>
      </c>
    </row>
    <row r="20" spans="1:5" x14ac:dyDescent="0.2">
      <c r="A20" s="3" t="s">
        <v>39</v>
      </c>
      <c r="C20" s="12">
        <v>49255</v>
      </c>
      <c r="D20" s="12">
        <v>48382</v>
      </c>
      <c r="E20" s="12">
        <v>51804</v>
      </c>
    </row>
    <row r="21" spans="1:5" x14ac:dyDescent="0.2">
      <c r="C21" s="8"/>
      <c r="D21" s="8"/>
      <c r="E21" s="8"/>
    </row>
    <row r="22" spans="1:5" x14ac:dyDescent="0.2">
      <c r="A22" s="3" t="s">
        <v>40</v>
      </c>
      <c r="C22" s="8"/>
      <c r="D22" s="8"/>
      <c r="E22" s="8"/>
    </row>
    <row r="23" spans="1:5" x14ac:dyDescent="0.2">
      <c r="A23" s="9" t="s">
        <v>32</v>
      </c>
      <c r="C23" s="8"/>
      <c r="D23" s="8"/>
      <c r="E23" s="8"/>
    </row>
    <row r="24" spans="1:5" x14ac:dyDescent="0.2">
      <c r="A24" s="10" t="s">
        <v>33</v>
      </c>
      <c r="C24" s="7">
        <v>4476</v>
      </c>
      <c r="D24" s="7">
        <v>12915</v>
      </c>
      <c r="E24" s="7">
        <v>12482</v>
      </c>
    </row>
    <row r="25" spans="1:5" x14ac:dyDescent="0.2">
      <c r="A25" s="10" t="s">
        <v>41</v>
      </c>
      <c r="C25" s="7">
        <v>20773</v>
      </c>
      <c r="D25" s="7">
        <v>30193</v>
      </c>
      <c r="E25" s="7">
        <v>31158</v>
      </c>
    </row>
    <row r="26" spans="1:5" x14ac:dyDescent="0.2">
      <c r="A26" s="10" t="s">
        <v>42</v>
      </c>
      <c r="C26" s="7">
        <v>6534</v>
      </c>
      <c r="D26" s="7">
        <v>14786</v>
      </c>
      <c r="E26" s="7">
        <v>24455</v>
      </c>
    </row>
    <row r="27" spans="1:5" x14ac:dyDescent="0.2">
      <c r="A27" s="10" t="s">
        <v>34</v>
      </c>
      <c r="C27" s="7">
        <v>291</v>
      </c>
      <c r="D27" s="7">
        <v>248</v>
      </c>
      <c r="E27" s="7">
        <v>249</v>
      </c>
    </row>
    <row r="28" spans="1:5" x14ac:dyDescent="0.2">
      <c r="A28" s="10" t="s">
        <v>35</v>
      </c>
      <c r="C28" s="7">
        <v>9088</v>
      </c>
      <c r="D28" s="7">
        <v>12085</v>
      </c>
      <c r="E28" s="7">
        <v>13840</v>
      </c>
    </row>
    <row r="29" spans="1:5" x14ac:dyDescent="0.2">
      <c r="A29" s="9" t="s">
        <v>37</v>
      </c>
      <c r="C29" s="8">
        <f>-C30</f>
        <v>-10920</v>
      </c>
      <c r="D29" s="7">
        <v>6397</v>
      </c>
      <c r="E29" s="7">
        <v>2975</v>
      </c>
    </row>
    <row r="30" spans="1:5" x14ac:dyDescent="0.2">
      <c r="A30" s="9" t="s">
        <v>43</v>
      </c>
      <c r="C30" s="7">
        <v>10920</v>
      </c>
      <c r="D30" s="7">
        <v>12808</v>
      </c>
      <c r="E30" s="7">
        <v>11940</v>
      </c>
    </row>
    <row r="31" spans="1:5" x14ac:dyDescent="0.2">
      <c r="A31" s="3" t="s">
        <v>44</v>
      </c>
      <c r="C31" s="12">
        <v>52082</v>
      </c>
      <c r="D31" s="12">
        <v>89432</v>
      </c>
      <c r="E31" s="12">
        <v>97099</v>
      </c>
    </row>
    <row r="32" spans="1:5" x14ac:dyDescent="0.2">
      <c r="C32" s="8"/>
      <c r="D32" s="8"/>
      <c r="E32" s="8"/>
    </row>
    <row r="33" spans="1:5" x14ac:dyDescent="0.2">
      <c r="A33" s="3" t="s">
        <v>45</v>
      </c>
      <c r="C33" s="12">
        <v>101337</v>
      </c>
      <c r="D33" s="12">
        <v>137814</v>
      </c>
      <c r="E33" s="12">
        <v>148903</v>
      </c>
    </row>
    <row r="34" spans="1:5" x14ac:dyDescent="0.2">
      <c r="C34" s="8"/>
      <c r="D34" s="8"/>
      <c r="E34" s="8"/>
    </row>
    <row r="35" spans="1:5" x14ac:dyDescent="0.2">
      <c r="A35" s="14" t="s">
        <v>46</v>
      </c>
      <c r="C35" s="8"/>
      <c r="D35" s="8"/>
      <c r="E35" s="8"/>
    </row>
    <row r="36" spans="1:5" x14ac:dyDescent="0.2">
      <c r="C36" s="8"/>
      <c r="D36" s="8"/>
      <c r="E36" s="8"/>
    </row>
    <row r="37" spans="1:5" x14ac:dyDescent="0.2">
      <c r="A37" t="s">
        <v>47</v>
      </c>
      <c r="C37" s="7">
        <v>2074</v>
      </c>
      <c r="D37" s="7">
        <v>2071</v>
      </c>
      <c r="E37" s="7">
        <v>2073</v>
      </c>
    </row>
    <row r="38" spans="1:5" x14ac:dyDescent="0.2">
      <c r="A38" t="s">
        <v>48</v>
      </c>
      <c r="C38" s="7">
        <v>65671</v>
      </c>
      <c r="D38" s="7">
        <v>86045</v>
      </c>
      <c r="E38" s="7">
        <v>93745</v>
      </c>
    </row>
    <row r="39" spans="1:5" x14ac:dyDescent="0.2">
      <c r="A39" t="s">
        <v>66</v>
      </c>
      <c r="C39" s="8"/>
      <c r="D39" s="8"/>
      <c r="E39" s="7">
        <v>95818</v>
      </c>
    </row>
    <row r="40" spans="1:5" x14ac:dyDescent="0.2">
      <c r="A40" t="s">
        <v>67</v>
      </c>
      <c r="C40" s="8"/>
      <c r="D40" s="8"/>
      <c r="E40" s="7">
        <v>385</v>
      </c>
    </row>
    <row r="41" spans="1:5" x14ac:dyDescent="0.2">
      <c r="A41" s="3" t="s">
        <v>49</v>
      </c>
      <c r="C41" s="12">
        <v>67745</v>
      </c>
      <c r="D41" s="12">
        <v>88461</v>
      </c>
      <c r="E41" s="12">
        <v>96203</v>
      </c>
    </row>
    <row r="42" spans="1:5" x14ac:dyDescent="0.2">
      <c r="C42" s="8"/>
      <c r="D42" s="8"/>
      <c r="E42" s="8"/>
    </row>
    <row r="43" spans="1:5" x14ac:dyDescent="0.2">
      <c r="A43" s="14" t="s">
        <v>50</v>
      </c>
      <c r="C43" s="8"/>
      <c r="D43" s="8"/>
      <c r="E43" s="8"/>
    </row>
    <row r="44" spans="1:5" x14ac:dyDescent="0.2">
      <c r="C44" s="8"/>
      <c r="D44" s="8"/>
      <c r="E44" s="8"/>
    </row>
    <row r="45" spans="1:5" x14ac:dyDescent="0.2">
      <c r="A45" s="3" t="s">
        <v>51</v>
      </c>
      <c r="C45" s="8"/>
      <c r="D45" s="8"/>
      <c r="E45" s="8"/>
    </row>
    <row r="46" spans="1:5" x14ac:dyDescent="0.2">
      <c r="A46" s="9" t="s">
        <v>52</v>
      </c>
      <c r="C46" s="8"/>
      <c r="D46" s="8"/>
      <c r="E46" s="8"/>
    </row>
    <row r="47" spans="1:5" x14ac:dyDescent="0.2">
      <c r="A47" s="10" t="s">
        <v>53</v>
      </c>
      <c r="C47" s="7">
        <v>3553</v>
      </c>
      <c r="D47" s="7">
        <v>6400</v>
      </c>
      <c r="E47" s="7">
        <v>5772</v>
      </c>
    </row>
    <row r="48" spans="1:5" x14ac:dyDescent="0.2">
      <c r="A48" s="10" t="s">
        <v>55</v>
      </c>
      <c r="C48" s="7">
        <v>1317</v>
      </c>
      <c r="D48" s="7">
        <v>2130</v>
      </c>
      <c r="E48" s="7">
        <v>2141</v>
      </c>
    </row>
    <row r="49" spans="1:5" x14ac:dyDescent="0.2">
      <c r="A49" s="9" t="s">
        <v>61</v>
      </c>
      <c r="C49" s="8">
        <v>866</v>
      </c>
      <c r="D49" s="7">
        <v>1794</v>
      </c>
      <c r="E49" s="7">
        <v>1722</v>
      </c>
    </row>
    <row r="50" spans="1:5" x14ac:dyDescent="0.2">
      <c r="A50" s="9" t="s">
        <v>62</v>
      </c>
      <c r="C50" s="8">
        <v>414</v>
      </c>
      <c r="D50" s="7">
        <v>235</v>
      </c>
      <c r="E50" s="7">
        <v>215</v>
      </c>
    </row>
    <row r="51" spans="1:5" x14ac:dyDescent="0.2">
      <c r="A51" s="3" t="s">
        <v>63</v>
      </c>
      <c r="C51" s="12">
        <v>6150</v>
      </c>
      <c r="D51" s="12">
        <v>10559</v>
      </c>
      <c r="E51" s="12">
        <v>9850</v>
      </c>
    </row>
    <row r="52" spans="1:5" x14ac:dyDescent="0.2">
      <c r="C52" s="8"/>
      <c r="D52" s="8"/>
      <c r="E52" s="8"/>
    </row>
    <row r="53" spans="1:5" x14ac:dyDescent="0.2">
      <c r="A53" s="3" t="s">
        <v>64</v>
      </c>
      <c r="C53" s="8"/>
      <c r="D53" s="8"/>
      <c r="E53" s="8"/>
    </row>
    <row r="54" spans="1:5" x14ac:dyDescent="0.2">
      <c r="A54" s="9" t="s">
        <v>52</v>
      </c>
      <c r="C54" s="8"/>
      <c r="D54" s="8"/>
      <c r="E54" s="8"/>
    </row>
    <row r="55" spans="1:5" x14ac:dyDescent="0.2">
      <c r="A55" s="10" t="s">
        <v>53</v>
      </c>
      <c r="C55" s="8">
        <v>713</v>
      </c>
      <c r="D55" s="7">
        <v>1959</v>
      </c>
      <c r="E55" s="7">
        <v>2455</v>
      </c>
    </row>
    <row r="56" spans="1:5" x14ac:dyDescent="0.2">
      <c r="A56" s="10" t="s">
        <v>54</v>
      </c>
      <c r="C56" s="7">
        <v>2426</v>
      </c>
      <c r="D56" s="7">
        <v>3956</v>
      </c>
      <c r="E56" s="7">
        <v>4164</v>
      </c>
    </row>
    <row r="57" spans="1:5" x14ac:dyDescent="0.2">
      <c r="A57" s="10" t="s">
        <v>55</v>
      </c>
      <c r="C57" s="7">
        <v>12697</v>
      </c>
      <c r="D57" s="7">
        <v>16969</v>
      </c>
      <c r="E57" s="7">
        <v>18138</v>
      </c>
    </row>
    <row r="58" spans="1:5" x14ac:dyDescent="0.2">
      <c r="A58" s="9" t="s">
        <v>56</v>
      </c>
      <c r="C58" s="7">
        <v>7609</v>
      </c>
      <c r="D58" s="7">
        <v>10539</v>
      </c>
      <c r="E58" s="7">
        <v>11765</v>
      </c>
    </row>
    <row r="59" spans="1:5" x14ac:dyDescent="0.2">
      <c r="A59" s="9" t="s">
        <v>57</v>
      </c>
      <c r="C59" s="7">
        <v>1163</v>
      </c>
      <c r="D59" s="7">
        <v>1796</v>
      </c>
      <c r="E59" s="7">
        <v>1475</v>
      </c>
    </row>
    <row r="60" spans="1:5" x14ac:dyDescent="0.2">
      <c r="A60" s="9" t="s">
        <v>58</v>
      </c>
      <c r="C60" s="7">
        <v>2834</v>
      </c>
      <c r="D60" s="7">
        <v>3585</v>
      </c>
      <c r="E60" s="7">
        <v>4853</v>
      </c>
    </row>
    <row r="61" spans="1:5" x14ac:dyDescent="0.2">
      <c r="A61" s="3" t="s">
        <v>59</v>
      </c>
      <c r="C61" s="12">
        <v>27442</v>
      </c>
      <c r="D61" s="12">
        <v>38794</v>
      </c>
      <c r="E61" s="12">
        <v>42850</v>
      </c>
    </row>
    <row r="62" spans="1:5" x14ac:dyDescent="0.2">
      <c r="C62" s="8"/>
      <c r="D62" s="8"/>
      <c r="E62" s="8"/>
    </row>
    <row r="63" spans="1:5" x14ac:dyDescent="0.2">
      <c r="A63" s="3" t="s">
        <v>60</v>
      </c>
      <c r="C63" s="13" t="s">
        <v>65</v>
      </c>
      <c r="D63" s="12">
        <v>137814</v>
      </c>
      <c r="E63" s="12">
        <v>148903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29EFF-05D3-B246-BF53-05253913805E}">
  <sheetPr>
    <tabColor theme="2" tint="-0.249977111117893"/>
  </sheetPr>
  <dimension ref="A1:E81"/>
  <sheetViews>
    <sheetView zoomScaleNormal="55" workbookViewId="0">
      <pane xSplit="1" topLeftCell="B1" activePane="topRight" state="frozen"/>
      <selection pane="topRight" activeCell="C32" sqref="C32"/>
    </sheetView>
  </sheetViews>
  <sheetFormatPr baseColWidth="10" defaultRowHeight="16" x14ac:dyDescent="0.2"/>
  <cols>
    <col min="1" max="1" width="64.6640625" customWidth="1"/>
  </cols>
  <sheetData>
    <row r="1" spans="1:5" x14ac:dyDescent="0.2">
      <c r="A1" s="3" t="s">
        <v>0</v>
      </c>
    </row>
    <row r="2" spans="1:5" x14ac:dyDescent="0.2">
      <c r="A2" s="3" t="s">
        <v>131</v>
      </c>
    </row>
    <row r="4" spans="1:5" x14ac:dyDescent="0.2">
      <c r="A4" s="5" t="s">
        <v>2</v>
      </c>
      <c r="B4" s="5"/>
      <c r="C4" s="5" t="s">
        <v>3</v>
      </c>
      <c r="D4" s="5" t="s">
        <v>4</v>
      </c>
      <c r="E4" s="5" t="s">
        <v>5</v>
      </c>
    </row>
    <row r="5" spans="1:5" x14ac:dyDescent="0.2">
      <c r="A5" s="14" t="s">
        <v>68</v>
      </c>
    </row>
    <row r="7" spans="1:5" x14ac:dyDescent="0.2">
      <c r="A7" t="s">
        <v>21</v>
      </c>
      <c r="C7" s="7">
        <v>23268</v>
      </c>
      <c r="D7" s="7">
        <v>26248</v>
      </c>
      <c r="E7" s="7">
        <v>26750</v>
      </c>
    </row>
    <row r="8" spans="1:5" x14ac:dyDescent="0.2">
      <c r="A8" s="3" t="s">
        <v>69</v>
      </c>
      <c r="C8" s="8"/>
      <c r="D8" s="8"/>
      <c r="E8" s="8"/>
    </row>
    <row r="9" spans="1:5" x14ac:dyDescent="0.2">
      <c r="A9" t="s">
        <v>70</v>
      </c>
      <c r="C9" s="7">
        <v>2753</v>
      </c>
      <c r="D9" s="7">
        <v>4678</v>
      </c>
      <c r="E9" s="7">
        <v>4812</v>
      </c>
    </row>
    <row r="10" spans="1:5" x14ac:dyDescent="0.2">
      <c r="A10" t="s">
        <v>127</v>
      </c>
      <c r="C10" s="7">
        <v>8375</v>
      </c>
      <c r="D10" s="7">
        <v>9740</v>
      </c>
      <c r="E10" s="7">
        <v>10858</v>
      </c>
    </row>
    <row r="11" spans="1:5" x14ac:dyDescent="0.2">
      <c r="A11" t="s">
        <v>128</v>
      </c>
      <c r="C11" s="7">
        <v>183</v>
      </c>
      <c r="D11" s="7">
        <v>121</v>
      </c>
      <c r="E11" s="7">
        <v>48</v>
      </c>
    </row>
    <row r="12" spans="1:5" x14ac:dyDescent="0.2">
      <c r="A12" t="s">
        <v>14</v>
      </c>
      <c r="C12" s="7">
        <v>157</v>
      </c>
      <c r="D12" s="7">
        <v>470</v>
      </c>
      <c r="E12" s="7">
        <v>416</v>
      </c>
    </row>
    <row r="13" spans="1:5" x14ac:dyDescent="0.2">
      <c r="A13" t="s">
        <v>71</v>
      </c>
      <c r="C13" s="7">
        <v>-3028</v>
      </c>
      <c r="D13" s="7">
        <v>-2067</v>
      </c>
      <c r="E13" s="7">
        <v>-2570</v>
      </c>
    </row>
    <row r="14" spans="1:5" x14ac:dyDescent="0.2">
      <c r="A14" t="s">
        <v>72</v>
      </c>
      <c r="C14" s="7">
        <v>460</v>
      </c>
      <c r="D14" s="7">
        <v>652</v>
      </c>
      <c r="E14" s="7">
        <v>802</v>
      </c>
    </row>
    <row r="15" spans="1:5" x14ac:dyDescent="0.2">
      <c r="A15" t="s">
        <v>73</v>
      </c>
      <c r="C15" s="7">
        <v>121</v>
      </c>
      <c r="D15" s="7">
        <v>75</v>
      </c>
      <c r="E15" s="7">
        <v>-110</v>
      </c>
    </row>
    <row r="16" spans="1:5" x14ac:dyDescent="0.2">
      <c r="A16" t="s">
        <v>74</v>
      </c>
      <c r="C16" s="7">
        <v>-116</v>
      </c>
      <c r="D16" s="7">
        <v>76</v>
      </c>
      <c r="E16" s="7">
        <v>79</v>
      </c>
    </row>
    <row r="17" spans="1:5" x14ac:dyDescent="0.2">
      <c r="A17" t="s">
        <v>75</v>
      </c>
      <c r="C17" s="7">
        <v>0</v>
      </c>
      <c r="D17" s="7">
        <v>-1934</v>
      </c>
      <c r="E17" s="7">
        <v>-327</v>
      </c>
    </row>
    <row r="18" spans="1:5" x14ac:dyDescent="0.2">
      <c r="A18" t="s">
        <v>76</v>
      </c>
      <c r="C18" s="7">
        <v>34</v>
      </c>
      <c r="D18" s="7">
        <v>1464</v>
      </c>
      <c r="E18" s="7">
        <v>833</v>
      </c>
    </row>
    <row r="19" spans="1:5" x14ac:dyDescent="0.2">
      <c r="C19" s="8"/>
      <c r="D19" s="8"/>
      <c r="E19" s="8"/>
    </row>
    <row r="20" spans="1:5" x14ac:dyDescent="0.2">
      <c r="A20" s="3" t="s">
        <v>77</v>
      </c>
      <c r="C20" s="8"/>
      <c r="D20" s="8"/>
      <c r="E20" s="8"/>
    </row>
    <row r="21" spans="1:5" x14ac:dyDescent="0.2">
      <c r="A21" t="s">
        <v>78</v>
      </c>
      <c r="C21" s="7">
        <v>-5065</v>
      </c>
      <c r="D21" s="7">
        <v>-2667</v>
      </c>
      <c r="E21" s="7">
        <v>-1769</v>
      </c>
    </row>
    <row r="22" spans="1:5" x14ac:dyDescent="0.2">
      <c r="A22" t="s">
        <v>79</v>
      </c>
      <c r="C22" s="7">
        <v>-2171</v>
      </c>
      <c r="D22" s="7">
        <v>-1172</v>
      </c>
      <c r="E22" s="7">
        <v>-1024</v>
      </c>
    </row>
    <row r="23" spans="1:5" x14ac:dyDescent="0.2">
      <c r="A23" t="s">
        <v>54</v>
      </c>
      <c r="C23" s="7">
        <v>-243</v>
      </c>
      <c r="D23" s="7">
        <v>91</v>
      </c>
      <c r="E23" s="7">
        <v>176</v>
      </c>
    </row>
    <row r="24" spans="1:5" x14ac:dyDescent="0.2">
      <c r="A24" t="s">
        <v>80</v>
      </c>
      <c r="C24" s="7">
        <v>2248</v>
      </c>
      <c r="D24" s="7">
        <v>-1334</v>
      </c>
      <c r="E24" s="7">
        <v>2322</v>
      </c>
    </row>
    <row r="25" spans="1:5" x14ac:dyDescent="0.2">
      <c r="C25" s="8"/>
      <c r="D25" s="8"/>
      <c r="E25" s="8"/>
    </row>
    <row r="26" spans="1:5" x14ac:dyDescent="0.2">
      <c r="A26" s="3" t="s">
        <v>81</v>
      </c>
      <c r="C26" s="12">
        <v>26976</v>
      </c>
      <c r="D26" s="12">
        <v>34441</v>
      </c>
      <c r="E26" s="12">
        <v>41296</v>
      </c>
    </row>
    <row r="27" spans="1:5" x14ac:dyDescent="0.2">
      <c r="A27" t="s">
        <v>82</v>
      </c>
      <c r="C27" s="7">
        <v>-7807</v>
      </c>
      <c r="D27" s="7">
        <v>-9231</v>
      </c>
      <c r="E27" s="7">
        <v>-5602</v>
      </c>
    </row>
    <row r="28" spans="1:5" x14ac:dyDescent="0.2">
      <c r="A28" s="3" t="s">
        <v>83</v>
      </c>
      <c r="C28" s="12">
        <v>19169</v>
      </c>
      <c r="D28" s="12">
        <v>25210</v>
      </c>
      <c r="E28" s="12">
        <v>35694</v>
      </c>
    </row>
    <row r="30" spans="1:5" x14ac:dyDescent="0.2">
      <c r="A30" s="14" t="s">
        <v>84</v>
      </c>
    </row>
    <row r="32" spans="1:5" x14ac:dyDescent="0.2">
      <c r="A32" t="s">
        <v>85</v>
      </c>
      <c r="C32" s="7">
        <v>-2130</v>
      </c>
      <c r="D32" s="7">
        <v>-2201</v>
      </c>
      <c r="E32" s="7">
        <v>-2237</v>
      </c>
    </row>
    <row r="33" spans="1:5" x14ac:dyDescent="0.2">
      <c r="A33" t="s">
        <v>86</v>
      </c>
      <c r="C33" s="8">
        <v>-634</v>
      </c>
      <c r="D33" s="8">
        <v>-847</v>
      </c>
      <c r="E33" s="7">
        <v>-1225</v>
      </c>
    </row>
    <row r="34" spans="1:5" x14ac:dyDescent="0.2">
      <c r="A34" t="s">
        <v>87</v>
      </c>
      <c r="C34" s="8">
        <v>482</v>
      </c>
      <c r="D34" s="8">
        <v>710</v>
      </c>
      <c r="E34" s="8">
        <v>776</v>
      </c>
    </row>
    <row r="35" spans="1:5" x14ac:dyDescent="0.2">
      <c r="A35" t="s">
        <v>89</v>
      </c>
      <c r="C35" s="7">
        <v>1299</v>
      </c>
      <c r="D35" s="7">
        <v>1768</v>
      </c>
      <c r="E35" s="7">
        <v>2040</v>
      </c>
    </row>
    <row r="36" spans="1:5" x14ac:dyDescent="0.2">
      <c r="A36" t="s">
        <v>90</v>
      </c>
      <c r="C36" s="7">
        <v>1463</v>
      </c>
      <c r="D36" s="8">
        <v>0</v>
      </c>
      <c r="E36" s="8">
        <v>0</v>
      </c>
    </row>
    <row r="37" spans="1:5" x14ac:dyDescent="0.2">
      <c r="A37" t="s">
        <v>91</v>
      </c>
      <c r="C37" s="7">
        <v>-427</v>
      </c>
      <c r="D37" s="8">
        <v>0</v>
      </c>
      <c r="E37" s="8">
        <v>0</v>
      </c>
    </row>
    <row r="38" spans="1:5" x14ac:dyDescent="0.2">
      <c r="A38" t="s">
        <v>92</v>
      </c>
      <c r="C38" s="7">
        <v>393</v>
      </c>
      <c r="D38" s="8">
        <v>0</v>
      </c>
      <c r="E38" s="8">
        <v>0</v>
      </c>
    </row>
    <row r="39" spans="1:5" x14ac:dyDescent="0.2">
      <c r="A39" t="s">
        <v>93</v>
      </c>
      <c r="C39" s="7">
        <v>-1530</v>
      </c>
      <c r="D39" s="8">
        <v>0</v>
      </c>
      <c r="E39" s="8">
        <v>0</v>
      </c>
    </row>
    <row r="40" spans="1:5" x14ac:dyDescent="0.2">
      <c r="A40" t="s">
        <v>94</v>
      </c>
      <c r="C40" s="7">
        <v>19</v>
      </c>
      <c r="D40" s="8">
        <v>0</v>
      </c>
      <c r="E40" s="8">
        <v>0</v>
      </c>
    </row>
    <row r="41" spans="1:5" x14ac:dyDescent="0.2">
      <c r="A41" t="s">
        <v>95</v>
      </c>
      <c r="C41" s="8">
        <v>0</v>
      </c>
      <c r="D41" s="8">
        <v>0</v>
      </c>
      <c r="E41" s="8">
        <v>0</v>
      </c>
    </row>
    <row r="42" spans="1:5" x14ac:dyDescent="0.2">
      <c r="A42" t="s">
        <v>96</v>
      </c>
      <c r="C42" s="7">
        <v>-483</v>
      </c>
      <c r="D42" s="8">
        <v>0</v>
      </c>
      <c r="E42" s="8">
        <v>0</v>
      </c>
    </row>
    <row r="43" spans="1:5" x14ac:dyDescent="0.2">
      <c r="A43" t="s">
        <v>129</v>
      </c>
      <c r="C43" s="7">
        <v>0</v>
      </c>
      <c r="D43" s="8">
        <v>0</v>
      </c>
      <c r="E43" s="7">
        <v>-3155</v>
      </c>
    </row>
    <row r="44" spans="1:5" x14ac:dyDescent="0.2">
      <c r="A44" t="s">
        <v>130</v>
      </c>
      <c r="C44" s="7">
        <v>0</v>
      </c>
      <c r="D44" s="8">
        <v>-101</v>
      </c>
      <c r="E44" s="7">
        <v>0</v>
      </c>
    </row>
    <row r="45" spans="1:5" x14ac:dyDescent="0.2">
      <c r="A45" t="s">
        <v>97</v>
      </c>
      <c r="C45" s="7">
        <v>483</v>
      </c>
      <c r="D45" s="8">
        <v>0</v>
      </c>
      <c r="E45" s="8">
        <v>0</v>
      </c>
    </row>
    <row r="46" spans="1:5" x14ac:dyDescent="0.2">
      <c r="A46" t="s">
        <v>88</v>
      </c>
      <c r="C46" s="7">
        <v>61</v>
      </c>
      <c r="D46" s="8">
        <v>128</v>
      </c>
      <c r="E46" s="8">
        <v>10</v>
      </c>
    </row>
    <row r="47" spans="1:5" x14ac:dyDescent="0.2">
      <c r="A47" t="s">
        <v>98</v>
      </c>
      <c r="C47" s="8"/>
      <c r="D47" s="8"/>
      <c r="E47" s="8"/>
    </row>
    <row r="48" spans="1:5" x14ac:dyDescent="0.2">
      <c r="A48" s="9" t="s">
        <v>101</v>
      </c>
      <c r="C48" s="7">
        <v>-62952</v>
      </c>
      <c r="D48" s="7">
        <v>-66191</v>
      </c>
      <c r="E48" s="7">
        <v>-73048</v>
      </c>
    </row>
    <row r="49" spans="1:5" x14ac:dyDescent="0.2">
      <c r="A49" s="9" t="s">
        <v>102</v>
      </c>
      <c r="C49" s="7">
        <v>-400</v>
      </c>
      <c r="D49" s="8">
        <v>0</v>
      </c>
      <c r="E49" s="8">
        <v>0</v>
      </c>
    </row>
    <row r="50" spans="1:5" x14ac:dyDescent="0.2">
      <c r="A50" s="9" t="s">
        <v>103</v>
      </c>
      <c r="C50" s="7">
        <v>-14</v>
      </c>
      <c r="D50" s="8">
        <v>0</v>
      </c>
      <c r="E50" s="8">
        <v>-2</v>
      </c>
    </row>
    <row r="51" spans="1:5" x14ac:dyDescent="0.2">
      <c r="A51" s="9" t="s">
        <v>104</v>
      </c>
      <c r="C51" s="7">
        <v>-2485</v>
      </c>
      <c r="D51" s="7">
        <v>-10387</v>
      </c>
      <c r="E51" s="7">
        <v>-6403</v>
      </c>
    </row>
    <row r="52" spans="1:5" x14ac:dyDescent="0.2">
      <c r="A52" s="9" t="s">
        <v>105</v>
      </c>
      <c r="C52" s="7">
        <v>-8909</v>
      </c>
      <c r="D52" s="7">
        <v>-8509</v>
      </c>
      <c r="E52" s="7">
        <v>-6978</v>
      </c>
    </row>
    <row r="53" spans="1:5" x14ac:dyDescent="0.2">
      <c r="A53" s="9" t="s">
        <v>106</v>
      </c>
      <c r="C53" s="7">
        <v>-1370</v>
      </c>
      <c r="D53" s="8">
        <v>0</v>
      </c>
      <c r="E53" s="8">
        <v>0</v>
      </c>
    </row>
    <row r="54" spans="1:5" x14ac:dyDescent="0.2">
      <c r="A54" s="9" t="s">
        <v>107</v>
      </c>
      <c r="C54" s="8">
        <v>0</v>
      </c>
      <c r="D54" s="7">
        <v>-1526</v>
      </c>
      <c r="E54" s="7">
        <v>-3240</v>
      </c>
    </row>
    <row r="55" spans="1:5" x14ac:dyDescent="0.2">
      <c r="A55" s="9" t="s">
        <v>108</v>
      </c>
      <c r="C55" s="7">
        <v>-4</v>
      </c>
      <c r="D55" s="8">
        <v>-14</v>
      </c>
      <c r="E55" s="7">
        <v>-60</v>
      </c>
    </row>
    <row r="56" spans="1:5" x14ac:dyDescent="0.2">
      <c r="A56" t="s">
        <v>99</v>
      </c>
      <c r="C56" s="8"/>
      <c r="D56" s="8"/>
      <c r="E56" s="8"/>
    </row>
    <row r="57" spans="1:5" x14ac:dyDescent="0.2">
      <c r="A57" s="9" t="s">
        <v>109</v>
      </c>
      <c r="C57" s="7">
        <v>213</v>
      </c>
      <c r="D57" s="8">
        <v>150</v>
      </c>
      <c r="E57" s="7">
        <v>109</v>
      </c>
    </row>
    <row r="58" spans="1:5" x14ac:dyDescent="0.2">
      <c r="A58" s="9" t="s">
        <v>101</v>
      </c>
      <c r="C58" s="7">
        <v>64168</v>
      </c>
      <c r="D58" s="8">
        <v>64767</v>
      </c>
      <c r="E58" s="7">
        <v>73987</v>
      </c>
    </row>
    <row r="59" spans="1:5" x14ac:dyDescent="0.2">
      <c r="A59" s="9" t="s">
        <v>110</v>
      </c>
      <c r="C59" s="7">
        <v>395</v>
      </c>
      <c r="D59" s="7">
        <v>1230</v>
      </c>
      <c r="E59" s="7">
        <v>2591</v>
      </c>
    </row>
    <row r="60" spans="1:5" x14ac:dyDescent="0.2">
      <c r="A60" s="9" t="s">
        <v>111</v>
      </c>
      <c r="C60" s="7">
        <v>9454</v>
      </c>
      <c r="D60" s="7">
        <v>9205</v>
      </c>
      <c r="E60" s="7">
        <v>6688</v>
      </c>
    </row>
    <row r="61" spans="1:5" x14ac:dyDescent="0.2">
      <c r="A61" s="9" t="s">
        <v>113</v>
      </c>
      <c r="C61" s="7">
        <v>2098</v>
      </c>
      <c r="D61" s="7">
        <v>6479</v>
      </c>
      <c r="E61" s="7">
        <v>7735</v>
      </c>
    </row>
    <row r="62" spans="1:5" x14ac:dyDescent="0.2">
      <c r="A62" s="9" t="s">
        <v>112</v>
      </c>
      <c r="C62" s="7">
        <v>1532</v>
      </c>
      <c r="D62" s="7">
        <v>1230</v>
      </c>
      <c r="E62" s="7">
        <v>455</v>
      </c>
    </row>
    <row r="63" spans="1:5" x14ac:dyDescent="0.2">
      <c r="A63" s="9" t="s">
        <v>108</v>
      </c>
      <c r="C63" s="7">
        <v>99</v>
      </c>
      <c r="D63" s="8">
        <v>0</v>
      </c>
      <c r="E63" s="7">
        <v>11</v>
      </c>
    </row>
    <row r="64" spans="1:5" x14ac:dyDescent="0.2">
      <c r="A64" s="3" t="s">
        <v>100</v>
      </c>
      <c r="C64" s="12">
        <v>821</v>
      </c>
      <c r="D64" s="12">
        <v>-5009</v>
      </c>
      <c r="E64" s="12">
        <v>-1946</v>
      </c>
    </row>
    <row r="65" spans="1:5" x14ac:dyDescent="0.2">
      <c r="C65" s="8"/>
      <c r="D65" s="8"/>
      <c r="E65" s="8"/>
    </row>
    <row r="66" spans="1:5" x14ac:dyDescent="0.2">
      <c r="A66" s="15" t="s">
        <v>114</v>
      </c>
      <c r="C66" s="8"/>
      <c r="D66" s="8"/>
      <c r="E66" s="8"/>
    </row>
    <row r="67" spans="1:5" x14ac:dyDescent="0.2">
      <c r="C67" s="8"/>
      <c r="D67" s="8"/>
      <c r="E67" s="8"/>
    </row>
    <row r="68" spans="1:5" ht="17" x14ac:dyDescent="0.2">
      <c r="A68" s="11" t="s">
        <v>116</v>
      </c>
      <c r="C68" s="8">
        <v>-11499</v>
      </c>
      <c r="D68" s="8">
        <v>18</v>
      </c>
      <c r="E68" s="8">
        <v>0</v>
      </c>
    </row>
    <row r="69" spans="1:5" x14ac:dyDescent="0.2">
      <c r="A69" t="s">
        <v>115</v>
      </c>
      <c r="C69" s="8">
        <v>-694</v>
      </c>
      <c r="D69" s="7">
        <v>-2024</v>
      </c>
      <c r="E69" s="7">
        <v>-2355</v>
      </c>
    </row>
    <row r="70" spans="1:5" x14ac:dyDescent="0.2">
      <c r="A70" t="s">
        <v>117</v>
      </c>
      <c r="C70" s="8">
        <v>30</v>
      </c>
      <c r="D70" s="8">
        <v>5</v>
      </c>
      <c r="E70" s="8">
        <v>6</v>
      </c>
    </row>
    <row r="71" spans="1:5" x14ac:dyDescent="0.2">
      <c r="A71" t="s">
        <v>88</v>
      </c>
      <c r="C71" s="8">
        <v>44</v>
      </c>
      <c r="D71" s="8">
        <v>0</v>
      </c>
      <c r="E71" s="8">
        <v>0</v>
      </c>
    </row>
    <row r="72" spans="1:5" x14ac:dyDescent="0.2">
      <c r="A72" t="s">
        <v>118</v>
      </c>
      <c r="C72" s="8">
        <v>64</v>
      </c>
      <c r="D72" s="8">
        <v>-736</v>
      </c>
      <c r="E72" s="8">
        <v>0</v>
      </c>
    </row>
    <row r="73" spans="1:5" x14ac:dyDescent="0.2">
      <c r="A73" t="s">
        <v>119</v>
      </c>
      <c r="C73" s="7">
        <v>-13674</v>
      </c>
      <c r="D73" s="7">
        <v>-14692</v>
      </c>
      <c r="E73" s="7">
        <v>-20287</v>
      </c>
    </row>
    <row r="74" spans="1:5" x14ac:dyDescent="0.2">
      <c r="A74" s="3" t="s">
        <v>120</v>
      </c>
      <c r="C74" s="12">
        <v>-25857</v>
      </c>
      <c r="D74" s="12">
        <v>-17504</v>
      </c>
      <c r="E74" s="12">
        <v>-24161</v>
      </c>
    </row>
    <row r="75" spans="1:5" x14ac:dyDescent="0.2">
      <c r="C75" s="8"/>
      <c r="D75" s="8"/>
      <c r="E75" s="8"/>
    </row>
    <row r="76" spans="1:5" x14ac:dyDescent="0.2">
      <c r="A76" t="s">
        <v>121</v>
      </c>
      <c r="C76" s="7">
        <v>-5867</v>
      </c>
      <c r="D76" s="7">
        <v>2697</v>
      </c>
      <c r="E76" s="7">
        <v>9587</v>
      </c>
    </row>
    <row r="77" spans="1:5" x14ac:dyDescent="0.2">
      <c r="A77" t="s">
        <v>122</v>
      </c>
      <c r="C77" s="8">
        <v>131</v>
      </c>
      <c r="D77" s="7">
        <v>-84</v>
      </c>
      <c r="E77" s="7">
        <v>82</v>
      </c>
    </row>
    <row r="78" spans="1:5" x14ac:dyDescent="0.2">
      <c r="A78" t="s">
        <v>123</v>
      </c>
      <c r="C78" s="7">
        <v>12270</v>
      </c>
      <c r="D78" s="7">
        <v>12173</v>
      </c>
      <c r="E78" s="7">
        <v>14786</v>
      </c>
    </row>
    <row r="79" spans="1:5" x14ac:dyDescent="0.2">
      <c r="A79" t="s">
        <v>124</v>
      </c>
      <c r="C79" s="7">
        <v>6534</v>
      </c>
      <c r="D79" s="7">
        <v>14786</v>
      </c>
      <c r="E79" s="7">
        <v>24455</v>
      </c>
    </row>
    <row r="80" spans="1:5" x14ac:dyDescent="0.2">
      <c r="A80" s="3" t="s">
        <v>125</v>
      </c>
      <c r="C80" s="8"/>
      <c r="D80" s="8"/>
      <c r="E80" s="8"/>
    </row>
    <row r="81" spans="1:5" x14ac:dyDescent="0.2">
      <c r="A81" t="s">
        <v>126</v>
      </c>
      <c r="C81" s="8">
        <v>46</v>
      </c>
      <c r="D81" s="7">
        <v>348</v>
      </c>
      <c r="E81" s="7">
        <v>424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8197-B81D-A946-87FA-197633624652}">
  <sheetPr>
    <tabColor theme="2" tint="-0.249977111117893"/>
  </sheetPr>
  <dimension ref="A2:E3"/>
  <sheetViews>
    <sheetView workbookViewId="0">
      <selection activeCell="C5" sqref="C5"/>
    </sheetView>
  </sheetViews>
  <sheetFormatPr baseColWidth="10" defaultRowHeight="16" x14ac:dyDescent="0.2"/>
  <sheetData>
    <row r="2" spans="1:5" x14ac:dyDescent="0.2">
      <c r="A2" s="4" t="s">
        <v>133</v>
      </c>
      <c r="B2" s="17"/>
      <c r="C2" s="4" t="s">
        <v>3</v>
      </c>
      <c r="D2" s="4" t="s">
        <v>4</v>
      </c>
      <c r="E2" s="4" t="s">
        <v>5</v>
      </c>
    </row>
    <row r="3" spans="1:5" x14ac:dyDescent="0.2">
      <c r="C3">
        <f>BS!C45-(BS!C70+BS!C80)</f>
        <v>0</v>
      </c>
      <c r="D3">
        <f>BS!D45-(BS!D70+BS!D80)</f>
        <v>0</v>
      </c>
      <c r="E3">
        <f>BS!E45-(BS!E70+BS!E80)</f>
        <v>0</v>
      </c>
    </row>
  </sheetData>
  <conditionalFormatting sqref="C3:E3">
    <cfRule type="cellIs" dxfId="1" priority="1" operator="notEqual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1CD45-A520-A542-A284-F1CD7853A834}">
  <sheetPr>
    <tabColor theme="5" tint="0.39997558519241921"/>
  </sheetPr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28F37-A227-084E-9F65-67CF215B7A7C}">
  <sheetPr>
    <tabColor theme="5" tint="0.39997558519241921"/>
  </sheetPr>
  <dimension ref="A1"/>
  <sheetViews>
    <sheetView topLeftCell="C1" workbookViewId="0">
      <selection activeCell="N41" sqref="N41"/>
    </sheetView>
  </sheetViews>
  <sheetFormatPr baseColWidth="10" defaultRowHeight="16" x14ac:dyDescent="0.2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50CFE-D0BB-9A48-980A-212CF0B3318D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57251-7A5A-794C-96B2-478D35C4F3B9}">
  <sheetPr>
    <tabColor theme="9" tint="0.39997558519241921"/>
  </sheetPr>
  <dimension ref="A1"/>
  <sheetViews>
    <sheetView workbookViewId="0">
      <selection activeCell="A12" sqref="A12:XFD12"/>
    </sheetView>
  </sheetViews>
  <sheetFormatPr baseColWidth="10" defaultRowHeight="16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8C098-C6A3-5B4B-9CE0-7F4E98F70504}">
  <sheetPr>
    <tabColor theme="9" tint="0.39997558519241921"/>
  </sheetPr>
  <dimension ref="A1"/>
  <sheetViews>
    <sheetView workbookViewId="0">
      <selection sqref="A1:BF1"/>
    </sheetView>
  </sheetViews>
  <sheetFormatPr baseColWidth="10" defaultRowHeight="14" x14ac:dyDescent="0.2"/>
  <cols>
    <col min="1" max="36" width="10.83203125" style="1"/>
    <col min="37" max="37" width="10.83203125" style="1" customWidth="1"/>
    <col min="38" max="16384" width="10.83203125" style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Cover</vt:lpstr>
      <vt:lpstr>Assumptions</vt:lpstr>
      <vt:lpstr>IS</vt:lpstr>
      <vt:lpstr>BS</vt:lpstr>
      <vt:lpstr>CFS</vt:lpstr>
      <vt:lpstr>Check</vt:lpstr>
      <vt:lpstr>PP&amp;E Sch</vt:lpstr>
      <vt:lpstr>WC Sch</vt:lpstr>
      <vt:lpstr>WACC</vt:lpstr>
      <vt:lpstr>DCF</vt:lpstr>
      <vt:lpstr>Sensitivity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2026-07-04T15:42:44Z</dcterms:created>
  <dcterms:modified xsi:type="dcterms:W3CDTF">2026-07-19T15:56:30Z</dcterms:modified>
</cp:coreProperties>
</file>